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0" yWindow="0" windowWidth="19440" windowHeight="15600" tabRatio="846" firstSheet="1" activeTab="1"/>
  </bookViews>
  <sheets>
    <sheet name="Demo" sheetId="1" state="hidden" r:id="rId1"/>
    <sheet name="CPU-Left" sheetId="2" r:id="rId2"/>
    <sheet name="CPU-Middle" sheetId="3" state="hidden" r:id="rId3"/>
    <sheet name="CPU-Right" sheetId="4" state="hidden" r:id="rId4"/>
    <sheet name="Data" sheetId="5" state="hidden" r:id="rId5"/>
    <sheet name="Reserves" sheetId="6" r:id="rId6"/>
    <sheet name="Study-Room" sheetId="7" r:id="rId7"/>
    <sheet name="Charged" sheetId="8" r:id="rId8"/>
    <sheet name="Discharged" sheetId="9" r:id="rId9"/>
    <sheet name="Print-Charged" sheetId="10" r:id="rId10"/>
    <sheet name="Print-Discharged" sheetId="11" r:id="rId11"/>
  </sheets>
  <definedNames>
    <definedName name="BorrowPeriod">Data!$A$2:$A$11</definedName>
    <definedName name="ItemType">Data!$A$15:$A$21</definedName>
    <definedName name="_xlnm.Print_Titles" localSheetId="10">'Print-Discharged'!$1:$1</definedName>
    <definedName name="Returned">Data!$C$15:$C$16</definedName>
    <definedName name="Z_7656BB3C_1299_4E61_A887_A5F4101AF2AB_.wvu.Cols" localSheetId="7" hidden="1">Charged!$N:$N</definedName>
    <definedName name="Z_7656BB3C_1299_4E61_A887_A5F4101AF2AB_.wvu.Cols" localSheetId="1" hidden="1">'CPU-Left'!$N:$N</definedName>
    <definedName name="Z_7656BB3C_1299_4E61_A887_A5F4101AF2AB_.wvu.Cols" localSheetId="8" hidden="1">Discharged!$N:$N</definedName>
    <definedName name="Z_7656BB3C_1299_4E61_A887_A5F4101AF2AB_.wvu.Cols" localSheetId="9" hidden="1">'Print-Charged'!$B:$B,'Print-Charged'!$D:$D</definedName>
    <definedName name="Z_7656BB3C_1299_4E61_A887_A5F4101AF2AB_.wvu.Cols" localSheetId="10" hidden="1">'Print-Discharged'!$B:$B,'Print-Discharged'!$D:$D</definedName>
    <definedName name="Z_7656BB3C_1299_4E61_A887_A5F4101AF2AB_.wvu.Cols" localSheetId="5" hidden="1">Reserves!$N:$N</definedName>
    <definedName name="Z_7656BB3C_1299_4E61_A887_A5F4101AF2AB_.wvu.Cols" localSheetId="6" hidden="1">'Study-Room'!$N:$N</definedName>
    <definedName name="Z_7656BB3C_1299_4E61_A887_A5F4101AF2AB_.wvu.PrintTitles" localSheetId="10" hidden="1">'Print-Discharged'!$1:$1</definedName>
    <definedName name="Z_DB3826DE_0319_4671_8564_0DA8C5492560_.wvu.Cols" localSheetId="7" hidden="1">Charged!$N:$N</definedName>
    <definedName name="Z_DB3826DE_0319_4671_8564_0DA8C5492560_.wvu.Cols" localSheetId="8" hidden="1">Discharged!$N:$N</definedName>
    <definedName name="Z_DB3826DE_0319_4671_8564_0DA8C5492560_.wvu.Cols" localSheetId="9" hidden="1">'Print-Charged'!$B:$B,'Print-Charged'!$D:$D</definedName>
    <definedName name="Z_DB3826DE_0319_4671_8564_0DA8C5492560_.wvu.Cols" localSheetId="10" hidden="1">'Print-Discharged'!$B:$B,'Print-Discharged'!$D:$D</definedName>
    <definedName name="Z_DB3826DE_0319_4671_8564_0DA8C5492560_.wvu.Cols" localSheetId="5" hidden="1">Reserves!$N:$N</definedName>
    <definedName name="Z_DB3826DE_0319_4671_8564_0DA8C5492560_.wvu.Cols" localSheetId="6" hidden="1">'Study-Room'!$N:$N</definedName>
    <definedName name="Z_DB3826DE_0319_4671_8564_0DA8C5492560_.wvu.PrintTitles" localSheetId="10" hidden="1">'Print-Discharged'!$1:$1</definedName>
  </definedNames>
  <calcPr calcId="125725"/>
  <customWorkbookViews>
    <customWorkbookView name="circuser - Personal View" guid="{7656BB3C-1299-4E61-A887-A5F4101AF2AB}" mergeInterval="0" personalView="1" maximized="1" xWindow="1" yWindow="1" windowWidth="1276" windowHeight="794" tabRatio="846" activeSheetId="2"/>
    <customWorkbookView name="ss2010 - Personal View" guid="{DB3826DE-0319-4671-8564-0DA8C5492560}" mergeInterval="0" personalView="1" maximized="1" xWindow="1" yWindow="1" windowWidth="1916" windowHeight="850" tabRatio="846" activeSheetId="4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1"/>
  <c r="A3" s="1"/>
  <c r="B4"/>
  <c r="A4" s="1"/>
  <c r="B5"/>
  <c r="A5" s="1"/>
  <c r="B6"/>
  <c r="A6" s="1"/>
  <c r="B7"/>
  <c r="A7" s="1"/>
  <c r="B8"/>
  <c r="A8" s="1"/>
  <c r="B9"/>
  <c r="A9" s="1"/>
  <c r="B10"/>
  <c r="A10" s="1"/>
  <c r="B11"/>
  <c r="A11" s="1"/>
  <c r="B12"/>
  <c r="A12" s="1"/>
  <c r="B13"/>
  <c r="A13" s="1"/>
  <c r="B14"/>
  <c r="A14" s="1"/>
  <c r="B15"/>
  <c r="A15" s="1"/>
  <c r="B16"/>
  <c r="A16" s="1"/>
  <c r="B17"/>
  <c r="A17" s="1"/>
  <c r="B18"/>
  <c r="A18" s="1"/>
  <c r="B19"/>
  <c r="A19" s="1"/>
  <c r="B20"/>
  <c r="A20" s="1"/>
  <c r="B21"/>
  <c r="A21" s="1"/>
  <c r="B22"/>
  <c r="A22" s="1"/>
  <c r="B23"/>
  <c r="A23" s="1"/>
  <c r="B24"/>
  <c r="A24" s="1"/>
  <c r="B25"/>
  <c r="A25" s="1"/>
  <c r="B26"/>
  <c r="A26" s="1"/>
  <c r="B27"/>
  <c r="A27" s="1"/>
  <c r="B28"/>
  <c r="A28" s="1"/>
  <c r="B29"/>
  <c r="A29" s="1"/>
  <c r="B30"/>
  <c r="A30" s="1"/>
  <c r="B31"/>
  <c r="A31" s="1"/>
  <c r="B32"/>
  <c r="A32" s="1"/>
  <c r="B33"/>
  <c r="A33" s="1"/>
  <c r="B34"/>
  <c r="A34" s="1"/>
  <c r="B35"/>
  <c r="A35" s="1"/>
  <c r="B36"/>
  <c r="A36" s="1"/>
  <c r="B37"/>
  <c r="A37" s="1"/>
  <c r="B38"/>
  <c r="A38" s="1"/>
  <c r="B39"/>
  <c r="A39" s="1"/>
  <c r="B40"/>
  <c r="A40" s="1"/>
  <c r="B41"/>
  <c r="A41" s="1"/>
  <c r="B42"/>
  <c r="A42" s="1"/>
  <c r="B43"/>
  <c r="A43" s="1"/>
  <c r="B44"/>
  <c r="A44" s="1"/>
  <c r="B45"/>
  <c r="A45" s="1"/>
  <c r="B46"/>
  <c r="A46" s="1"/>
  <c r="B47"/>
  <c r="A47" s="1"/>
  <c r="B48"/>
  <c r="A48" s="1"/>
  <c r="B49"/>
  <c r="A49" s="1"/>
  <c r="B50"/>
  <c r="A50" s="1"/>
  <c r="B51"/>
  <c r="A51" s="1"/>
  <c r="B52"/>
  <c r="A52" s="1"/>
  <c r="B53"/>
  <c r="A53" s="1"/>
  <c r="B54"/>
  <c r="A54" s="1"/>
  <c r="B55"/>
  <c r="A55" s="1"/>
  <c r="B56"/>
  <c r="A56" s="1"/>
  <c r="B57"/>
  <c r="A57" s="1"/>
  <c r="B58"/>
  <c r="A58" s="1"/>
  <c r="B59"/>
  <c r="A59" s="1"/>
  <c r="B60"/>
  <c r="A60" s="1"/>
  <c r="B61"/>
  <c r="A61" s="1"/>
  <c r="B62"/>
  <c r="A62" s="1"/>
  <c r="B63"/>
  <c r="A63" s="1"/>
  <c r="B64"/>
  <c r="A64" s="1"/>
  <c r="B65"/>
  <c r="A65" s="1"/>
  <c r="B66"/>
  <c r="A66" s="1"/>
  <c r="B67"/>
  <c r="A67" s="1"/>
  <c r="B68"/>
  <c r="A68" s="1"/>
  <c r="B69"/>
  <c r="A69" s="1"/>
  <c r="B70"/>
  <c r="A70" s="1"/>
  <c r="B71"/>
  <c r="A71" s="1"/>
  <c r="B72"/>
  <c r="A72" s="1"/>
  <c r="B73"/>
  <c r="A73" s="1"/>
  <c r="B74"/>
  <c r="A74" s="1"/>
  <c r="B75"/>
  <c r="A75" s="1"/>
  <c r="B76"/>
  <c r="A76" s="1"/>
  <c r="B77"/>
  <c r="A77" s="1"/>
  <c r="B78"/>
  <c r="A78" s="1"/>
  <c r="B79"/>
  <c r="A79" s="1"/>
  <c r="B80"/>
  <c r="A80" s="1"/>
  <c r="B81"/>
  <c r="A81" s="1"/>
  <c r="B82"/>
  <c r="A82" s="1"/>
  <c r="B83"/>
  <c r="A83" s="1"/>
  <c r="B84"/>
  <c r="A84" s="1"/>
  <c r="B85"/>
  <c r="A85" s="1"/>
  <c r="B86"/>
  <c r="A86" s="1"/>
  <c r="B87"/>
  <c r="A87" s="1"/>
  <c r="B88"/>
  <c r="A88" s="1"/>
  <c r="B89"/>
  <c r="A89" s="1"/>
  <c r="B90"/>
  <c r="A90" s="1"/>
  <c r="B91"/>
  <c r="A91" s="1"/>
  <c r="B92"/>
  <c r="A92" s="1"/>
  <c r="B93"/>
  <c r="A93" s="1"/>
  <c r="B94"/>
  <c r="A94" s="1"/>
  <c r="B95"/>
  <c r="A95" s="1"/>
  <c r="B96"/>
  <c r="A96" s="1"/>
  <c r="B97"/>
  <c r="A97" s="1"/>
  <c r="B98"/>
  <c r="A98" s="1"/>
  <c r="B99"/>
  <c r="A99" s="1"/>
  <c r="B100"/>
  <c r="A100" s="1"/>
  <c r="B101"/>
  <c r="A101" s="1"/>
  <c r="B102"/>
  <c r="A102" s="1"/>
  <c r="B103"/>
  <c r="A103" s="1"/>
  <c r="B104"/>
  <c r="A104" s="1"/>
  <c r="B105"/>
  <c r="A105" s="1"/>
  <c r="B106"/>
  <c r="A106" s="1"/>
  <c r="B107"/>
  <c r="A107" s="1"/>
  <c r="B108"/>
  <c r="A108"/>
  <c r="B109"/>
  <c r="A109"/>
  <c r="B110"/>
  <c r="A110"/>
  <c r="B111"/>
  <c r="A111"/>
  <c r="B112"/>
  <c r="A112"/>
  <c r="B113"/>
  <c r="A113"/>
  <c r="B114"/>
  <c r="A114"/>
  <c r="B115"/>
  <c r="A115"/>
  <c r="B116"/>
  <c r="A116"/>
  <c r="B117"/>
  <c r="A117"/>
  <c r="B118"/>
  <c r="A118"/>
  <c r="B119"/>
  <c r="A119"/>
  <c r="B120"/>
  <c r="A120"/>
  <c r="B121"/>
  <c r="A121"/>
  <c r="B122"/>
  <c r="A122"/>
  <c r="B123"/>
  <c r="A123"/>
  <c r="B124"/>
  <c r="A124"/>
  <c r="B125"/>
  <c r="A125"/>
  <c r="B126"/>
  <c r="A126"/>
  <c r="B127"/>
  <c r="A127"/>
  <c r="B128"/>
  <c r="A128"/>
  <c r="B129"/>
  <c r="A129"/>
  <c r="B130"/>
  <c r="A130"/>
  <c r="B131"/>
  <c r="A131"/>
  <c r="B132"/>
  <c r="A132"/>
  <c r="B133"/>
  <c r="A133"/>
  <c r="B134"/>
  <c r="A134"/>
  <c r="B135"/>
  <c r="A135"/>
  <c r="B136"/>
  <c r="A136"/>
  <c r="B137"/>
  <c r="A137"/>
  <c r="B138"/>
  <c r="A138"/>
  <c r="B139"/>
  <c r="A139"/>
  <c r="B140"/>
  <c r="A140"/>
  <c r="B141"/>
  <c r="A141"/>
  <c r="B142"/>
  <c r="A142"/>
  <c r="B143"/>
  <c r="A143"/>
  <c r="B144"/>
  <c r="A144"/>
  <c r="B145"/>
  <c r="A145"/>
  <c r="B146"/>
  <c r="A146"/>
  <c r="B147"/>
  <c r="A147"/>
  <c r="B148"/>
  <c r="A148"/>
  <c r="B149"/>
  <c r="A149"/>
  <c r="B150"/>
  <c r="A150"/>
  <c r="B151"/>
  <c r="A151"/>
  <c r="B152"/>
  <c r="A152"/>
  <c r="B153"/>
  <c r="A153"/>
  <c r="B154"/>
  <c r="A154"/>
  <c r="B155"/>
  <c r="A155"/>
  <c r="B156"/>
  <c r="A156"/>
  <c r="B157"/>
  <c r="A157"/>
  <c r="B158"/>
  <c r="A158"/>
  <c r="B159"/>
  <c r="A159"/>
  <c r="B160"/>
  <c r="A160"/>
  <c r="B161"/>
  <c r="A161"/>
  <c r="B162"/>
  <c r="A162"/>
  <c r="B163"/>
  <c r="A163"/>
  <c r="B164"/>
  <c r="A164"/>
  <c r="B165"/>
  <c r="A165"/>
  <c r="B166"/>
  <c r="A166"/>
  <c r="B167"/>
  <c r="A167"/>
  <c r="B168"/>
  <c r="A168"/>
  <c r="B169"/>
  <c r="A169"/>
  <c r="B170"/>
  <c r="A170"/>
  <c r="B171"/>
  <c r="A171"/>
  <c r="B172"/>
  <c r="A172"/>
  <c r="B173"/>
  <c r="A173"/>
  <c r="B174"/>
  <c r="A174"/>
  <c r="B175"/>
  <c r="A175"/>
  <c r="B176"/>
  <c r="A176"/>
  <c r="B177"/>
  <c r="A177"/>
  <c r="B178"/>
  <c r="A178"/>
  <c r="B179"/>
  <c r="A179"/>
  <c r="B180"/>
  <c r="A180"/>
  <c r="B181"/>
  <c r="A181"/>
  <c r="B182"/>
  <c r="A182"/>
  <c r="B183"/>
  <c r="A183"/>
  <c r="B184"/>
  <c r="A184"/>
  <c r="B185"/>
  <c r="A185"/>
  <c r="B186"/>
  <c r="A186"/>
  <c r="B187"/>
  <c r="A187"/>
  <c r="B188"/>
  <c r="A188"/>
  <c r="B189"/>
  <c r="A189"/>
  <c r="B190"/>
  <c r="A190"/>
  <c r="B191"/>
  <c r="A191"/>
  <c r="B192"/>
  <c r="A192"/>
  <c r="B193"/>
  <c r="A193"/>
  <c r="B194"/>
  <c r="A194"/>
  <c r="B195"/>
  <c r="A195"/>
  <c r="B196"/>
  <c r="A196"/>
  <c r="B197"/>
  <c r="A197"/>
  <c r="B198"/>
  <c r="A198"/>
  <c r="B199"/>
  <c r="A199"/>
  <c r="B200"/>
  <c r="A200"/>
  <c r="B201"/>
  <c r="A201"/>
  <c r="B202"/>
  <c r="A202"/>
  <c r="B203"/>
  <c r="A203"/>
  <c r="B204"/>
  <c r="A204"/>
  <c r="B205"/>
  <c r="A205"/>
  <c r="B206"/>
  <c r="A206"/>
  <c r="B207"/>
  <c r="A207"/>
  <c r="B208"/>
  <c r="A208"/>
  <c r="B209"/>
  <c r="A209"/>
  <c r="B210"/>
  <c r="A210"/>
  <c r="B211"/>
  <c r="A211"/>
  <c r="B212"/>
  <c r="A212"/>
  <c r="B213"/>
  <c r="A213"/>
  <c r="B214"/>
  <c r="A214"/>
  <c r="B215"/>
  <c r="A215"/>
  <c r="B216"/>
  <c r="A216"/>
  <c r="B217"/>
  <c r="A217"/>
  <c r="B218"/>
  <c r="A218"/>
  <c r="B219"/>
  <c r="A219"/>
  <c r="B220"/>
  <c r="A220"/>
  <c r="B221"/>
  <c r="A221"/>
  <c r="B222"/>
  <c r="A222"/>
  <c r="B223"/>
  <c r="A223"/>
  <c r="B224"/>
  <c r="A224"/>
  <c r="B225"/>
  <c r="A225"/>
  <c r="B226"/>
  <c r="A226"/>
  <c r="B227"/>
  <c r="A227"/>
  <c r="B228"/>
  <c r="A228"/>
  <c r="B229"/>
  <c r="A229"/>
  <c r="B230"/>
  <c r="A230"/>
  <c r="B231"/>
  <c r="A231"/>
  <c r="B232"/>
  <c r="A232"/>
  <c r="B233"/>
  <c r="A233"/>
  <c r="B234"/>
  <c r="A234"/>
  <c r="B235"/>
  <c r="A235"/>
  <c r="B236"/>
  <c r="A236"/>
  <c r="B237"/>
  <c r="A237"/>
  <c r="B238"/>
  <c r="A238"/>
  <c r="B239"/>
  <c r="A239"/>
  <c r="B240"/>
  <c r="A240"/>
  <c r="B241"/>
  <c r="A241"/>
  <c r="B242"/>
  <c r="A242"/>
  <c r="B243"/>
  <c r="A243"/>
  <c r="B244"/>
  <c r="A244"/>
  <c r="B245"/>
  <c r="A245"/>
  <c r="B246"/>
  <c r="A246"/>
  <c r="B247"/>
  <c r="A247"/>
  <c r="B248"/>
  <c r="A248"/>
  <c r="B249"/>
  <c r="A249"/>
  <c r="B250"/>
  <c r="A250"/>
  <c r="B251"/>
  <c r="A251"/>
  <c r="B252"/>
  <c r="A252"/>
  <c r="B253"/>
  <c r="A253"/>
  <c r="B254"/>
  <c r="A254"/>
  <c r="B255"/>
  <c r="A255"/>
  <c r="B256"/>
  <c r="A256"/>
  <c r="B257"/>
  <c r="A257"/>
  <c r="B258"/>
  <c r="A258"/>
  <c r="B259"/>
  <c r="A259"/>
  <c r="B260"/>
  <c r="A260"/>
  <c r="B261"/>
  <c r="A261"/>
  <c r="B262"/>
  <c r="A262"/>
  <c r="B263"/>
  <c r="A263"/>
  <c r="B264"/>
  <c r="A264"/>
  <c r="B265"/>
  <c r="A265"/>
  <c r="B266"/>
  <c r="A266"/>
  <c r="B267"/>
  <c r="A267"/>
  <c r="B268"/>
  <c r="A268"/>
  <c r="B269"/>
  <c r="A269"/>
  <c r="B270"/>
  <c r="A270"/>
  <c r="B271"/>
  <c r="A271"/>
  <c r="B272"/>
  <c r="A272"/>
  <c r="B273"/>
  <c r="A273"/>
  <c r="B274"/>
  <c r="A274"/>
  <c r="B275"/>
  <c r="A275"/>
  <c r="B276"/>
  <c r="A276"/>
  <c r="B277"/>
  <c r="A277"/>
  <c r="B278"/>
  <c r="A278"/>
  <c r="B279"/>
  <c r="A279"/>
  <c r="B280"/>
  <c r="A280"/>
  <c r="B281"/>
  <c r="A281"/>
  <c r="B282"/>
  <c r="A282"/>
  <c r="B283"/>
  <c r="A283"/>
  <c r="B284"/>
  <c r="A284"/>
  <c r="B285"/>
  <c r="A285"/>
  <c r="B286"/>
  <c r="A286"/>
  <c r="B287"/>
  <c r="A287"/>
  <c r="B288"/>
  <c r="A288"/>
  <c r="B289"/>
  <c r="A289"/>
  <c r="B290"/>
  <c r="A290"/>
  <c r="B291"/>
  <c r="A291"/>
  <c r="B292"/>
  <c r="A292"/>
  <c r="B293"/>
  <c r="A293"/>
  <c r="B294"/>
  <c r="A294"/>
  <c r="B295"/>
  <c r="A295"/>
  <c r="B296"/>
  <c r="A296"/>
  <c r="B297"/>
  <c r="A297"/>
  <c r="B298"/>
  <c r="A298"/>
  <c r="B299"/>
  <c r="A299"/>
  <c r="B300"/>
  <c r="A300"/>
  <c r="B301"/>
  <c r="A301"/>
  <c r="D3"/>
  <c r="I3" s="1"/>
  <c r="D4"/>
  <c r="I4" s="1"/>
  <c r="D5"/>
  <c r="I5" s="1"/>
  <c r="D6"/>
  <c r="I6" s="1"/>
  <c r="D7"/>
  <c r="I7" s="1"/>
  <c r="D8"/>
  <c r="I8" s="1"/>
  <c r="D9"/>
  <c r="I9" s="1"/>
  <c r="D10"/>
  <c r="I10" s="1"/>
  <c r="D11"/>
  <c r="I11" s="1"/>
  <c r="D12"/>
  <c r="I12" s="1"/>
  <c r="D13"/>
  <c r="I13" s="1"/>
  <c r="D14"/>
  <c r="I14" s="1"/>
  <c r="D15"/>
  <c r="I15" s="1"/>
  <c r="D16"/>
  <c r="I16" s="1"/>
  <c r="D17"/>
  <c r="I17" s="1"/>
  <c r="D18"/>
  <c r="I18" s="1"/>
  <c r="D19"/>
  <c r="I19" s="1"/>
  <c r="D20"/>
  <c r="I20" s="1"/>
  <c r="D21"/>
  <c r="I21" s="1"/>
  <c r="D22"/>
  <c r="I22" s="1"/>
  <c r="D23"/>
  <c r="I23"/>
  <c r="D24"/>
  <c r="I24"/>
  <c r="D25"/>
  <c r="I25"/>
  <c r="D26"/>
  <c r="I26"/>
  <c r="D27"/>
  <c r="I27"/>
  <c r="D28"/>
  <c r="I28"/>
  <c r="D29"/>
  <c r="I29"/>
  <c r="D30"/>
  <c r="I30"/>
  <c r="D31"/>
  <c r="I31"/>
  <c r="D32"/>
  <c r="I32"/>
  <c r="D33"/>
  <c r="I33"/>
  <c r="D34"/>
  <c r="I34"/>
  <c r="D35"/>
  <c r="I35"/>
  <c r="D36"/>
  <c r="I36"/>
  <c r="D37"/>
  <c r="I37"/>
  <c r="D38"/>
  <c r="I38"/>
  <c r="D39"/>
  <c r="I39"/>
  <c r="D40"/>
  <c r="I40"/>
  <c r="D41"/>
  <c r="I41"/>
  <c r="D42"/>
  <c r="I42"/>
  <c r="D43"/>
  <c r="I43"/>
  <c r="D44"/>
  <c r="I44"/>
  <c r="D45"/>
  <c r="I45"/>
  <c r="D46"/>
  <c r="I46"/>
  <c r="D47"/>
  <c r="I47"/>
  <c r="D48"/>
  <c r="I48"/>
  <c r="D49"/>
  <c r="I49"/>
  <c r="D50"/>
  <c r="I50"/>
  <c r="D51"/>
  <c r="I51"/>
  <c r="D52"/>
  <c r="I52"/>
  <c r="D53"/>
  <c r="I53"/>
  <c r="D54"/>
  <c r="I54"/>
  <c r="D55"/>
  <c r="I55"/>
  <c r="D56"/>
  <c r="I56"/>
  <c r="D57"/>
  <c r="I57"/>
  <c r="D58"/>
  <c r="I58"/>
  <c r="D59"/>
  <c r="I59"/>
  <c r="D60"/>
  <c r="I60"/>
  <c r="D61"/>
  <c r="I61"/>
  <c r="D62"/>
  <c r="I62"/>
  <c r="D63"/>
  <c r="I63"/>
  <c r="D64"/>
  <c r="I64"/>
  <c r="D65"/>
  <c r="I65"/>
  <c r="D66"/>
  <c r="I66"/>
  <c r="D67"/>
  <c r="I67"/>
  <c r="D68"/>
  <c r="I68"/>
  <c r="D69"/>
  <c r="I69"/>
  <c r="D70"/>
  <c r="I70"/>
  <c r="D71"/>
  <c r="I71"/>
  <c r="D72"/>
  <c r="I72"/>
  <c r="D73"/>
  <c r="I73"/>
  <c r="D74"/>
  <c r="I74"/>
  <c r="D75"/>
  <c r="I75"/>
  <c r="D76"/>
  <c r="I76"/>
  <c r="D77"/>
  <c r="I77"/>
  <c r="D78"/>
  <c r="I78"/>
  <c r="D79"/>
  <c r="I79"/>
  <c r="D80"/>
  <c r="I80"/>
  <c r="D81"/>
  <c r="I81"/>
  <c r="D82"/>
  <c r="I82"/>
  <c r="D83"/>
  <c r="I83"/>
  <c r="D84"/>
  <c r="I84"/>
  <c r="D85"/>
  <c r="I85"/>
  <c r="D86"/>
  <c r="I86"/>
  <c r="D87"/>
  <c r="I87"/>
  <c r="D88"/>
  <c r="I88"/>
  <c r="D89"/>
  <c r="I89"/>
  <c r="D90"/>
  <c r="I90"/>
  <c r="D91"/>
  <c r="I91"/>
  <c r="D92"/>
  <c r="I92"/>
  <c r="D93"/>
  <c r="I93"/>
  <c r="D94"/>
  <c r="I94"/>
  <c r="D95"/>
  <c r="I95"/>
  <c r="D96"/>
  <c r="I96"/>
  <c r="D97"/>
  <c r="I97"/>
  <c r="D98"/>
  <c r="I98"/>
  <c r="D99"/>
  <c r="I99"/>
  <c r="D100"/>
  <c r="I100"/>
  <c r="D101"/>
  <c r="I101"/>
  <c r="D102"/>
  <c r="I102"/>
  <c r="D103"/>
  <c r="I103"/>
  <c r="D104"/>
  <c r="I104"/>
  <c r="D105"/>
  <c r="I105"/>
  <c r="D106"/>
  <c r="I106"/>
  <c r="D107"/>
  <c r="I107"/>
  <c r="D108"/>
  <c r="I108"/>
  <c r="D109"/>
  <c r="I109"/>
  <c r="D110"/>
  <c r="I110"/>
  <c r="D111"/>
  <c r="I111"/>
  <c r="D112"/>
  <c r="I112"/>
  <c r="D113"/>
  <c r="I113"/>
  <c r="D114"/>
  <c r="I114"/>
  <c r="D115"/>
  <c r="I115"/>
  <c r="D116"/>
  <c r="I116"/>
  <c r="D117"/>
  <c r="I117"/>
  <c r="D118"/>
  <c r="I118"/>
  <c r="D119"/>
  <c r="I119"/>
  <c r="D120"/>
  <c r="I120"/>
  <c r="D121"/>
  <c r="I121"/>
  <c r="D122"/>
  <c r="I122"/>
  <c r="D123"/>
  <c r="I123"/>
  <c r="D124"/>
  <c r="I124"/>
  <c r="D125"/>
  <c r="I125"/>
  <c r="D126"/>
  <c r="I126"/>
  <c r="D127"/>
  <c r="I127"/>
  <c r="D128"/>
  <c r="I128"/>
  <c r="D129"/>
  <c r="I129"/>
  <c r="D130"/>
  <c r="I130"/>
  <c r="D131"/>
  <c r="I131"/>
  <c r="D132"/>
  <c r="I132"/>
  <c r="D133"/>
  <c r="I133"/>
  <c r="D134"/>
  <c r="I134"/>
  <c r="D135"/>
  <c r="I135"/>
  <c r="D136"/>
  <c r="I136"/>
  <c r="D137"/>
  <c r="I137"/>
  <c r="D138"/>
  <c r="I138"/>
  <c r="D139"/>
  <c r="I139"/>
  <c r="D140"/>
  <c r="I140"/>
  <c r="D141"/>
  <c r="I141"/>
  <c r="D142"/>
  <c r="I142"/>
  <c r="D143"/>
  <c r="I143"/>
  <c r="D144"/>
  <c r="I144"/>
  <c r="D145"/>
  <c r="I145"/>
  <c r="D146"/>
  <c r="I146"/>
  <c r="D147"/>
  <c r="I147"/>
  <c r="D148"/>
  <c r="I148"/>
  <c r="D149"/>
  <c r="I149"/>
  <c r="D150"/>
  <c r="I150"/>
  <c r="D151"/>
  <c r="I151"/>
  <c r="D152"/>
  <c r="I152"/>
  <c r="D153"/>
  <c r="I153"/>
  <c r="D154"/>
  <c r="I154"/>
  <c r="D155"/>
  <c r="I155"/>
  <c r="D156"/>
  <c r="I156"/>
  <c r="D157"/>
  <c r="I157"/>
  <c r="D158"/>
  <c r="I158"/>
  <c r="D159"/>
  <c r="I159"/>
  <c r="D160"/>
  <c r="I160"/>
  <c r="D161"/>
  <c r="I161"/>
  <c r="D162"/>
  <c r="I162"/>
  <c r="D163"/>
  <c r="I163"/>
  <c r="D164"/>
  <c r="I164"/>
  <c r="D165"/>
  <c r="I165"/>
  <c r="D166"/>
  <c r="I166"/>
  <c r="D167"/>
  <c r="I167"/>
  <c r="D168"/>
  <c r="I168"/>
  <c r="D169"/>
  <c r="I169"/>
  <c r="D170"/>
  <c r="I170"/>
  <c r="D171"/>
  <c r="I171"/>
  <c r="D172"/>
  <c r="I172"/>
  <c r="D173"/>
  <c r="I173"/>
  <c r="D174"/>
  <c r="I174"/>
  <c r="D175"/>
  <c r="I175"/>
  <c r="D176"/>
  <c r="I176"/>
  <c r="D177"/>
  <c r="I177"/>
  <c r="D178"/>
  <c r="I178"/>
  <c r="D179"/>
  <c r="I179"/>
  <c r="D180"/>
  <c r="I180"/>
  <c r="D181"/>
  <c r="I181"/>
  <c r="D182"/>
  <c r="I182"/>
  <c r="D183"/>
  <c r="I183"/>
  <c r="D184"/>
  <c r="I184"/>
  <c r="D185"/>
  <c r="I185"/>
  <c r="D186"/>
  <c r="I186"/>
  <c r="D187"/>
  <c r="I187"/>
  <c r="D188"/>
  <c r="I188"/>
  <c r="D189"/>
  <c r="I189"/>
  <c r="D190"/>
  <c r="I190"/>
  <c r="D191"/>
  <c r="I191"/>
  <c r="D192"/>
  <c r="I192"/>
  <c r="D193"/>
  <c r="I193"/>
  <c r="D194"/>
  <c r="I194"/>
  <c r="D195"/>
  <c r="I195"/>
  <c r="D196"/>
  <c r="I196"/>
  <c r="D197"/>
  <c r="I197"/>
  <c r="D198"/>
  <c r="I198"/>
  <c r="D199"/>
  <c r="I199"/>
  <c r="D200"/>
  <c r="I200"/>
  <c r="D201"/>
  <c r="I201"/>
  <c r="D202"/>
  <c r="I202"/>
  <c r="D203"/>
  <c r="I203"/>
  <c r="D204"/>
  <c r="I204"/>
  <c r="D205"/>
  <c r="I205"/>
  <c r="D206"/>
  <c r="I206"/>
  <c r="D207"/>
  <c r="I207"/>
  <c r="D208"/>
  <c r="I208"/>
  <c r="D209"/>
  <c r="I209"/>
  <c r="D210"/>
  <c r="I210"/>
  <c r="D211"/>
  <c r="I211"/>
  <c r="D212"/>
  <c r="I212"/>
  <c r="D213"/>
  <c r="I213"/>
  <c r="D214"/>
  <c r="I214"/>
  <c r="D215"/>
  <c r="I215"/>
  <c r="D216"/>
  <c r="I216"/>
  <c r="D217"/>
  <c r="I217"/>
  <c r="D218"/>
  <c r="I218"/>
  <c r="D219"/>
  <c r="I219"/>
  <c r="D220"/>
  <c r="I220"/>
  <c r="D221"/>
  <c r="I221"/>
  <c r="D222"/>
  <c r="I222"/>
  <c r="D223"/>
  <c r="I223"/>
  <c r="D224"/>
  <c r="I224"/>
  <c r="D225"/>
  <c r="I225"/>
  <c r="D226"/>
  <c r="I226"/>
  <c r="D227"/>
  <c r="I227"/>
  <c r="D228"/>
  <c r="I228"/>
  <c r="D229"/>
  <c r="I229"/>
  <c r="D230"/>
  <c r="I230"/>
  <c r="D231"/>
  <c r="I231"/>
  <c r="D232"/>
  <c r="I232"/>
  <c r="D233"/>
  <c r="I233"/>
  <c r="D234"/>
  <c r="I234"/>
  <c r="D235"/>
  <c r="I235"/>
  <c r="D236"/>
  <c r="I236"/>
  <c r="D237"/>
  <c r="I237"/>
  <c r="D238"/>
  <c r="I238"/>
  <c r="D239"/>
  <c r="I239"/>
  <c r="D240"/>
  <c r="I240"/>
  <c r="D241"/>
  <c r="I241"/>
  <c r="D242"/>
  <c r="I242"/>
  <c r="D243"/>
  <c r="I243"/>
  <c r="D244"/>
  <c r="I244"/>
  <c r="D245"/>
  <c r="I245"/>
  <c r="D246"/>
  <c r="I246"/>
  <c r="D247"/>
  <c r="I247"/>
  <c r="D248"/>
  <c r="I248"/>
  <c r="D249"/>
  <c r="I249"/>
  <c r="D250"/>
  <c r="I250"/>
  <c r="D251"/>
  <c r="I251"/>
  <c r="D252"/>
  <c r="I252"/>
  <c r="D253"/>
  <c r="I253"/>
  <c r="D254"/>
  <c r="I254"/>
  <c r="D255"/>
  <c r="I255"/>
  <c r="D256"/>
  <c r="I256"/>
  <c r="D257"/>
  <c r="I257"/>
  <c r="D258"/>
  <c r="I258"/>
  <c r="D259"/>
  <c r="I259"/>
  <c r="D260"/>
  <c r="I260"/>
  <c r="D261"/>
  <c r="I261"/>
  <c r="D262"/>
  <c r="I262"/>
  <c r="D263"/>
  <c r="I263"/>
  <c r="D264"/>
  <c r="I264"/>
  <c r="D265"/>
  <c r="I265"/>
  <c r="D266"/>
  <c r="I266"/>
  <c r="D267"/>
  <c r="I267"/>
  <c r="D268"/>
  <c r="I268"/>
  <c r="D269"/>
  <c r="I269"/>
  <c r="D270"/>
  <c r="I270"/>
  <c r="D271"/>
  <c r="I271"/>
  <c r="D272"/>
  <c r="I272"/>
  <c r="D273"/>
  <c r="I273"/>
  <c r="D274"/>
  <c r="I274"/>
  <c r="D275"/>
  <c r="I275"/>
  <c r="D276"/>
  <c r="I276"/>
  <c r="D277"/>
  <c r="I277"/>
  <c r="D278"/>
  <c r="I278"/>
  <c r="D279"/>
  <c r="I279"/>
  <c r="D280"/>
  <c r="I280"/>
  <c r="D281"/>
  <c r="I281"/>
  <c r="D282"/>
  <c r="I282"/>
  <c r="D283"/>
  <c r="I283"/>
  <c r="D284"/>
  <c r="I284"/>
  <c r="D285"/>
  <c r="I285"/>
  <c r="D286"/>
  <c r="I286"/>
  <c r="D287"/>
  <c r="I287"/>
  <c r="D288"/>
  <c r="I288"/>
  <c r="D289"/>
  <c r="I289"/>
  <c r="D290"/>
  <c r="I290"/>
  <c r="D291"/>
  <c r="I291"/>
  <c r="D292"/>
  <c r="I292"/>
  <c r="D293"/>
  <c r="I293"/>
  <c r="D294"/>
  <c r="I294"/>
  <c r="D295"/>
  <c r="I295"/>
  <c r="D296"/>
  <c r="I296"/>
  <c r="D297"/>
  <c r="I297"/>
  <c r="D298"/>
  <c r="I298"/>
  <c r="D299"/>
  <c r="I299"/>
  <c r="D300"/>
  <c r="I300"/>
  <c r="D301"/>
  <c r="I301"/>
  <c r="D2"/>
  <c r="I2" s="1"/>
  <c r="B2"/>
  <c r="A2" s="1"/>
  <c r="B3" i="10"/>
  <c r="A3" s="1"/>
  <c r="B4"/>
  <c r="A4" s="1"/>
  <c r="B5"/>
  <c r="A5" s="1"/>
  <c r="B6"/>
  <c r="A6" s="1"/>
  <c r="B7"/>
  <c r="A7" s="1"/>
  <c r="B8"/>
  <c r="A8" s="1"/>
  <c r="B9"/>
  <c r="A9" s="1"/>
  <c r="B10"/>
  <c r="A10" s="1"/>
  <c r="B11"/>
  <c r="A11" s="1"/>
  <c r="B12"/>
  <c r="A12" s="1"/>
  <c r="B13"/>
  <c r="A13" s="1"/>
  <c r="B14"/>
  <c r="A14" s="1"/>
  <c r="B15"/>
  <c r="A15" s="1"/>
  <c r="B16"/>
  <c r="A16" s="1"/>
  <c r="B17"/>
  <c r="A17" s="1"/>
  <c r="B18"/>
  <c r="A18" s="1"/>
  <c r="B19"/>
  <c r="A19" s="1"/>
  <c r="B20"/>
  <c r="A20" s="1"/>
  <c r="B21"/>
  <c r="A21" s="1"/>
  <c r="B22"/>
  <c r="A22" s="1"/>
  <c r="B23"/>
  <c r="A23" s="1"/>
  <c r="B24"/>
  <c r="A24" s="1"/>
  <c r="B25"/>
  <c r="A25" s="1"/>
  <c r="B26"/>
  <c r="A26" s="1"/>
  <c r="B27"/>
  <c r="A27" s="1"/>
  <c r="B28"/>
  <c r="A28" s="1"/>
  <c r="B29"/>
  <c r="A29" s="1"/>
  <c r="B30"/>
  <c r="A30" s="1"/>
  <c r="B31"/>
  <c r="A31" s="1"/>
  <c r="B32"/>
  <c r="A32" s="1"/>
  <c r="B33"/>
  <c r="A33" s="1"/>
  <c r="B34"/>
  <c r="A34" s="1"/>
  <c r="B35"/>
  <c r="A35" s="1"/>
  <c r="B36"/>
  <c r="A36" s="1"/>
  <c r="B37"/>
  <c r="A37" s="1"/>
  <c r="B38"/>
  <c r="A38" s="1"/>
  <c r="B39"/>
  <c r="A39" s="1"/>
  <c r="B40"/>
  <c r="A40" s="1"/>
  <c r="B41"/>
  <c r="A41" s="1"/>
  <c r="B42"/>
  <c r="A42" s="1"/>
  <c r="B43"/>
  <c r="A43" s="1"/>
  <c r="B44"/>
  <c r="A44" s="1"/>
  <c r="B45"/>
  <c r="A45" s="1"/>
  <c r="B46"/>
  <c r="A46" s="1"/>
  <c r="B47"/>
  <c r="A47" s="1"/>
  <c r="B48"/>
  <c r="A48" s="1"/>
  <c r="B49"/>
  <c r="A49" s="1"/>
  <c r="B50"/>
  <c r="A50" s="1"/>
  <c r="B51"/>
  <c r="A51" s="1"/>
  <c r="B52"/>
  <c r="A52" s="1"/>
  <c r="B53"/>
  <c r="A53" s="1"/>
  <c r="B54"/>
  <c r="A54" s="1"/>
  <c r="B55"/>
  <c r="A55" s="1"/>
  <c r="B56"/>
  <c r="A56" s="1"/>
  <c r="B57"/>
  <c r="A57" s="1"/>
  <c r="B58"/>
  <c r="A58" s="1"/>
  <c r="B59"/>
  <c r="A59" s="1"/>
  <c r="B60"/>
  <c r="A60" s="1"/>
  <c r="B61"/>
  <c r="A61" s="1"/>
  <c r="B62"/>
  <c r="A62" s="1"/>
  <c r="B63"/>
  <c r="A63" s="1"/>
  <c r="B64"/>
  <c r="A64" s="1"/>
  <c r="B65"/>
  <c r="A65" s="1"/>
  <c r="B66"/>
  <c r="A66" s="1"/>
  <c r="B67"/>
  <c r="A67" s="1"/>
  <c r="B68"/>
  <c r="A68" s="1"/>
  <c r="B69"/>
  <c r="A69" s="1"/>
  <c r="B70"/>
  <c r="A70" s="1"/>
  <c r="B71"/>
  <c r="A71" s="1"/>
  <c r="B72"/>
  <c r="A72" s="1"/>
  <c r="B73"/>
  <c r="A73" s="1"/>
  <c r="B74"/>
  <c r="A74" s="1"/>
  <c r="B75"/>
  <c r="A75" s="1"/>
  <c r="B76"/>
  <c r="A76" s="1"/>
  <c r="B77"/>
  <c r="A77" s="1"/>
  <c r="B78"/>
  <c r="A78" s="1"/>
  <c r="B79"/>
  <c r="A79" s="1"/>
  <c r="B80"/>
  <c r="A80" s="1"/>
  <c r="B81"/>
  <c r="A81" s="1"/>
  <c r="B82"/>
  <c r="A82" s="1"/>
  <c r="B83"/>
  <c r="A83" s="1"/>
  <c r="B84"/>
  <c r="A84" s="1"/>
  <c r="B85"/>
  <c r="A85" s="1"/>
  <c r="B86"/>
  <c r="A86" s="1"/>
  <c r="B87"/>
  <c r="A87" s="1"/>
  <c r="B88"/>
  <c r="A88" s="1"/>
  <c r="B89"/>
  <c r="A89" s="1"/>
  <c r="B90"/>
  <c r="A90" s="1"/>
  <c r="B91"/>
  <c r="A91" s="1"/>
  <c r="B92"/>
  <c r="A92" s="1"/>
  <c r="B93"/>
  <c r="A93" s="1"/>
  <c r="B94"/>
  <c r="A94" s="1"/>
  <c r="B95"/>
  <c r="A95" s="1"/>
  <c r="B96"/>
  <c r="A96" s="1"/>
  <c r="B97"/>
  <c r="A97" s="1"/>
  <c r="B98"/>
  <c r="A98" s="1"/>
  <c r="B99"/>
  <c r="A99" s="1"/>
  <c r="B100"/>
  <c r="A100" s="1"/>
  <c r="B101"/>
  <c r="A101" s="1"/>
  <c r="B102"/>
  <c r="A102" s="1"/>
  <c r="B103"/>
  <c r="A103" s="1"/>
  <c r="B104"/>
  <c r="A104" s="1"/>
  <c r="B105"/>
  <c r="A105" s="1"/>
  <c r="B106"/>
  <c r="A106" s="1"/>
  <c r="B107"/>
  <c r="A107" s="1"/>
  <c r="B108"/>
  <c r="A108" s="1"/>
  <c r="B109"/>
  <c r="A109" s="1"/>
  <c r="B110"/>
  <c r="A110" s="1"/>
  <c r="B111"/>
  <c r="A111" s="1"/>
  <c r="B112"/>
  <c r="A112" s="1"/>
  <c r="B113"/>
  <c r="A113" s="1"/>
  <c r="B114"/>
  <c r="A114" s="1"/>
  <c r="B115"/>
  <c r="A115" s="1"/>
  <c r="B116"/>
  <c r="A116" s="1"/>
  <c r="B117"/>
  <c r="A117" s="1"/>
  <c r="B118"/>
  <c r="A118" s="1"/>
  <c r="B119"/>
  <c r="A119" s="1"/>
  <c r="B120"/>
  <c r="A120" s="1"/>
  <c r="B121"/>
  <c r="A121" s="1"/>
  <c r="B122"/>
  <c r="A122" s="1"/>
  <c r="B123"/>
  <c r="A123" s="1"/>
  <c r="B124"/>
  <c r="A124" s="1"/>
  <c r="B125"/>
  <c r="A125" s="1"/>
  <c r="B126"/>
  <c r="A126" s="1"/>
  <c r="B127"/>
  <c r="A127" s="1"/>
  <c r="B128"/>
  <c r="A128" s="1"/>
  <c r="B129"/>
  <c r="A129" s="1"/>
  <c r="B130"/>
  <c r="A130" s="1"/>
  <c r="B131"/>
  <c r="A131" s="1"/>
  <c r="B132"/>
  <c r="A132" s="1"/>
  <c r="B133"/>
  <c r="A133" s="1"/>
  <c r="B134"/>
  <c r="A134" s="1"/>
  <c r="B135"/>
  <c r="A135" s="1"/>
  <c r="B136"/>
  <c r="A136" s="1"/>
  <c r="B137"/>
  <c r="A137" s="1"/>
  <c r="B138"/>
  <c r="A138" s="1"/>
  <c r="B139"/>
  <c r="A139" s="1"/>
  <c r="B140"/>
  <c r="A140" s="1"/>
  <c r="B141"/>
  <c r="A141" s="1"/>
  <c r="B142"/>
  <c r="A142" s="1"/>
  <c r="B143"/>
  <c r="A143" s="1"/>
  <c r="B144"/>
  <c r="A144" s="1"/>
  <c r="B145"/>
  <c r="A145" s="1"/>
  <c r="B146"/>
  <c r="A146" s="1"/>
  <c r="B147"/>
  <c r="A147" s="1"/>
  <c r="B148"/>
  <c r="A148" s="1"/>
  <c r="B149"/>
  <c r="A149" s="1"/>
  <c r="B150"/>
  <c r="A150" s="1"/>
  <c r="B151"/>
  <c r="A151" s="1"/>
  <c r="B152"/>
  <c r="A152" s="1"/>
  <c r="B153"/>
  <c r="A153" s="1"/>
  <c r="B154"/>
  <c r="A154" s="1"/>
  <c r="B155"/>
  <c r="A155" s="1"/>
  <c r="B156"/>
  <c r="A156" s="1"/>
  <c r="B157"/>
  <c r="A157" s="1"/>
  <c r="B158"/>
  <c r="A158" s="1"/>
  <c r="B159"/>
  <c r="A159" s="1"/>
  <c r="B160"/>
  <c r="A160" s="1"/>
  <c r="B161"/>
  <c r="A161" s="1"/>
  <c r="B162"/>
  <c r="A162" s="1"/>
  <c r="B163"/>
  <c r="A163" s="1"/>
  <c r="B164"/>
  <c r="A164" s="1"/>
  <c r="B165"/>
  <c r="A165" s="1"/>
  <c r="B166"/>
  <c r="A166" s="1"/>
  <c r="B167"/>
  <c r="A167" s="1"/>
  <c r="B168"/>
  <c r="A168" s="1"/>
  <c r="B169"/>
  <c r="A169" s="1"/>
  <c r="B170"/>
  <c r="A170" s="1"/>
  <c r="B171"/>
  <c r="A171" s="1"/>
  <c r="B172"/>
  <c r="A172" s="1"/>
  <c r="B173"/>
  <c r="A173" s="1"/>
  <c r="B174"/>
  <c r="A174" s="1"/>
  <c r="B175"/>
  <c r="A175" s="1"/>
  <c r="B176"/>
  <c r="A176" s="1"/>
  <c r="B177"/>
  <c r="A177" s="1"/>
  <c r="B178"/>
  <c r="A178" s="1"/>
  <c r="B179"/>
  <c r="A179" s="1"/>
  <c r="B180"/>
  <c r="A180" s="1"/>
  <c r="B181"/>
  <c r="A181" s="1"/>
  <c r="B182"/>
  <c r="A182" s="1"/>
  <c r="B183"/>
  <c r="A183" s="1"/>
  <c r="B184"/>
  <c r="A184" s="1"/>
  <c r="B185"/>
  <c r="A185" s="1"/>
  <c r="B186"/>
  <c r="A186" s="1"/>
  <c r="B187"/>
  <c r="A187" s="1"/>
  <c r="B188"/>
  <c r="A188" s="1"/>
  <c r="B189"/>
  <c r="A189" s="1"/>
  <c r="B190"/>
  <c r="A190" s="1"/>
  <c r="B191"/>
  <c r="A191" s="1"/>
  <c r="B192"/>
  <c r="A192" s="1"/>
  <c r="B193"/>
  <c r="A193" s="1"/>
  <c r="B194"/>
  <c r="A194" s="1"/>
  <c r="B195"/>
  <c r="A195" s="1"/>
  <c r="B196"/>
  <c r="A196" s="1"/>
  <c r="B197"/>
  <c r="A197" s="1"/>
  <c r="B198"/>
  <c r="A198" s="1"/>
  <c r="B199"/>
  <c r="A199" s="1"/>
  <c r="B200"/>
  <c r="A200" s="1"/>
  <c r="B201"/>
  <c r="A201" s="1"/>
  <c r="B202"/>
  <c r="A202" s="1"/>
  <c r="B203"/>
  <c r="A203" s="1"/>
  <c r="B204"/>
  <c r="A204" s="1"/>
  <c r="B205"/>
  <c r="A205" s="1"/>
  <c r="B206"/>
  <c r="A206" s="1"/>
  <c r="B207"/>
  <c r="A207" s="1"/>
  <c r="B208"/>
  <c r="A208" s="1"/>
  <c r="B209"/>
  <c r="A209" s="1"/>
  <c r="B210"/>
  <c r="A210" s="1"/>
  <c r="B211"/>
  <c r="A211" s="1"/>
  <c r="B212"/>
  <c r="A212" s="1"/>
  <c r="B213"/>
  <c r="A213" s="1"/>
  <c r="B214"/>
  <c r="A214" s="1"/>
  <c r="B215"/>
  <c r="A215" s="1"/>
  <c r="B216"/>
  <c r="A216" s="1"/>
  <c r="B217"/>
  <c r="A217" s="1"/>
  <c r="B218"/>
  <c r="A218" s="1"/>
  <c r="B219"/>
  <c r="A219" s="1"/>
  <c r="B220"/>
  <c r="A220" s="1"/>
  <c r="B221"/>
  <c r="A221" s="1"/>
  <c r="B222"/>
  <c r="A222" s="1"/>
  <c r="B223"/>
  <c r="A223" s="1"/>
  <c r="B224"/>
  <c r="A224" s="1"/>
  <c r="B225"/>
  <c r="A225" s="1"/>
  <c r="B226"/>
  <c r="A226" s="1"/>
  <c r="B227"/>
  <c r="A227" s="1"/>
  <c r="B228"/>
  <c r="A228" s="1"/>
  <c r="B229"/>
  <c r="A229" s="1"/>
  <c r="B230"/>
  <c r="A230" s="1"/>
  <c r="B231"/>
  <c r="A231" s="1"/>
  <c r="B232"/>
  <c r="A232" s="1"/>
  <c r="B233"/>
  <c r="A233" s="1"/>
  <c r="B234"/>
  <c r="A234" s="1"/>
  <c r="B235"/>
  <c r="A235" s="1"/>
  <c r="B236"/>
  <c r="A236" s="1"/>
  <c r="B237"/>
  <c r="A237" s="1"/>
  <c r="B238"/>
  <c r="A238" s="1"/>
  <c r="B239"/>
  <c r="A239" s="1"/>
  <c r="B240"/>
  <c r="A240" s="1"/>
  <c r="B241"/>
  <c r="A241" s="1"/>
  <c r="B242"/>
  <c r="A242" s="1"/>
  <c r="B243"/>
  <c r="A243" s="1"/>
  <c r="B244"/>
  <c r="A244" s="1"/>
  <c r="B245"/>
  <c r="A245" s="1"/>
  <c r="B246"/>
  <c r="A246" s="1"/>
  <c r="B247"/>
  <c r="A247" s="1"/>
  <c r="B248"/>
  <c r="A248" s="1"/>
  <c r="B249"/>
  <c r="A249" s="1"/>
  <c r="B250"/>
  <c r="A250" s="1"/>
  <c r="B251"/>
  <c r="A251" s="1"/>
  <c r="B252"/>
  <c r="A252" s="1"/>
  <c r="B253"/>
  <c r="A253" s="1"/>
  <c r="B254"/>
  <c r="A254" s="1"/>
  <c r="B255"/>
  <c r="A255" s="1"/>
  <c r="B256"/>
  <c r="A256" s="1"/>
  <c r="B257"/>
  <c r="A257" s="1"/>
  <c r="B258"/>
  <c r="A258" s="1"/>
  <c r="B259"/>
  <c r="A259" s="1"/>
  <c r="B260"/>
  <c r="A260" s="1"/>
  <c r="B261"/>
  <c r="A261" s="1"/>
  <c r="B262"/>
  <c r="A262" s="1"/>
  <c r="B263"/>
  <c r="A263" s="1"/>
  <c r="B264"/>
  <c r="A264" s="1"/>
  <c r="B265"/>
  <c r="A265" s="1"/>
  <c r="B266"/>
  <c r="A266" s="1"/>
  <c r="B267"/>
  <c r="A267" s="1"/>
  <c r="B268"/>
  <c r="A268" s="1"/>
  <c r="B269"/>
  <c r="A269" s="1"/>
  <c r="B270"/>
  <c r="A270" s="1"/>
  <c r="B271"/>
  <c r="A271" s="1"/>
  <c r="B272"/>
  <c r="A272" s="1"/>
  <c r="B273"/>
  <c r="A273" s="1"/>
  <c r="B274"/>
  <c r="A274" s="1"/>
  <c r="B275"/>
  <c r="A275" s="1"/>
  <c r="B276"/>
  <c r="A276" s="1"/>
  <c r="B277"/>
  <c r="A277" s="1"/>
  <c r="B278"/>
  <c r="A278" s="1"/>
  <c r="B279"/>
  <c r="A279" s="1"/>
  <c r="B280"/>
  <c r="A280" s="1"/>
  <c r="B281"/>
  <c r="A281" s="1"/>
  <c r="B282"/>
  <c r="A282" s="1"/>
  <c r="B283"/>
  <c r="A283" s="1"/>
  <c r="B284"/>
  <c r="A284" s="1"/>
  <c r="B285"/>
  <c r="A285" s="1"/>
  <c r="B286"/>
  <c r="A286" s="1"/>
  <c r="B287"/>
  <c r="A287" s="1"/>
  <c r="B288"/>
  <c r="A288" s="1"/>
  <c r="B289"/>
  <c r="A289" s="1"/>
  <c r="B290"/>
  <c r="A290" s="1"/>
  <c r="B291"/>
  <c r="A291" s="1"/>
  <c r="B292"/>
  <c r="A292" s="1"/>
  <c r="B293"/>
  <c r="A293" s="1"/>
  <c r="B294"/>
  <c r="A294" s="1"/>
  <c r="B295"/>
  <c r="A295" s="1"/>
  <c r="B296"/>
  <c r="A296" s="1"/>
  <c r="B297"/>
  <c r="A297" s="1"/>
  <c r="B298"/>
  <c r="A298" s="1"/>
  <c r="B299"/>
  <c r="A299" s="1"/>
  <c r="B300"/>
  <c r="A300" s="1"/>
  <c r="B301"/>
  <c r="A301" s="1"/>
  <c r="B2"/>
  <c r="A2" s="1"/>
  <c r="D3"/>
  <c r="H3" s="1"/>
  <c r="D4"/>
  <c r="H4" s="1"/>
  <c r="D5"/>
  <c r="H5" s="1"/>
  <c r="D6"/>
  <c r="H6" s="1"/>
  <c r="D7"/>
  <c r="H7" s="1"/>
  <c r="D8"/>
  <c r="H8" s="1"/>
  <c r="D9"/>
  <c r="H9" s="1"/>
  <c r="D10"/>
  <c r="H10" s="1"/>
  <c r="D11"/>
  <c r="H11" s="1"/>
  <c r="D12"/>
  <c r="H12" s="1"/>
  <c r="D13"/>
  <c r="H13" s="1"/>
  <c r="D14"/>
  <c r="H14" s="1"/>
  <c r="D15"/>
  <c r="H15" s="1"/>
  <c r="D16"/>
  <c r="H16" s="1"/>
  <c r="D17"/>
  <c r="H17" s="1"/>
  <c r="D18"/>
  <c r="H18" s="1"/>
  <c r="D19"/>
  <c r="H19" s="1"/>
  <c r="D20"/>
  <c r="H20" s="1"/>
  <c r="D21"/>
  <c r="H21" s="1"/>
  <c r="D22"/>
  <c r="H22" s="1"/>
  <c r="D23"/>
  <c r="H23" s="1"/>
  <c r="D24"/>
  <c r="H24" s="1"/>
  <c r="D25"/>
  <c r="H25" s="1"/>
  <c r="D26"/>
  <c r="H26" s="1"/>
  <c r="D27"/>
  <c r="H27" s="1"/>
  <c r="D28"/>
  <c r="H28" s="1"/>
  <c r="D29"/>
  <c r="H29" s="1"/>
  <c r="D30"/>
  <c r="H30" s="1"/>
  <c r="D31"/>
  <c r="H31" s="1"/>
  <c r="D32"/>
  <c r="H32" s="1"/>
  <c r="D33"/>
  <c r="H33" s="1"/>
  <c r="D34"/>
  <c r="H34" s="1"/>
  <c r="D35"/>
  <c r="H35" s="1"/>
  <c r="D36"/>
  <c r="H36" s="1"/>
  <c r="D37"/>
  <c r="H37" s="1"/>
  <c r="D38"/>
  <c r="H38" s="1"/>
  <c r="D39"/>
  <c r="H39" s="1"/>
  <c r="D40"/>
  <c r="H40" s="1"/>
  <c r="D41"/>
  <c r="H41" s="1"/>
  <c r="D42"/>
  <c r="H42" s="1"/>
  <c r="D43"/>
  <c r="H43" s="1"/>
  <c r="D44"/>
  <c r="H44" s="1"/>
  <c r="D45"/>
  <c r="H45" s="1"/>
  <c r="D46"/>
  <c r="H46" s="1"/>
  <c r="D47"/>
  <c r="H47" s="1"/>
  <c r="D48"/>
  <c r="H48" s="1"/>
  <c r="D49"/>
  <c r="H49" s="1"/>
  <c r="D50"/>
  <c r="H50" s="1"/>
  <c r="D51"/>
  <c r="H51" s="1"/>
  <c r="D52"/>
  <c r="H52" s="1"/>
  <c r="D53"/>
  <c r="H53" s="1"/>
  <c r="D54"/>
  <c r="H54" s="1"/>
  <c r="D55"/>
  <c r="H55" s="1"/>
  <c r="D56"/>
  <c r="H56" s="1"/>
  <c r="D57"/>
  <c r="H57" s="1"/>
  <c r="D58"/>
  <c r="H58" s="1"/>
  <c r="D59"/>
  <c r="H59" s="1"/>
  <c r="D60"/>
  <c r="H60" s="1"/>
  <c r="D61"/>
  <c r="H61" s="1"/>
  <c r="D62"/>
  <c r="H62" s="1"/>
  <c r="D63"/>
  <c r="H63" s="1"/>
  <c r="D64"/>
  <c r="H64" s="1"/>
  <c r="D65"/>
  <c r="H65" s="1"/>
  <c r="D66"/>
  <c r="H66" s="1"/>
  <c r="D67"/>
  <c r="H67" s="1"/>
  <c r="D68"/>
  <c r="H68" s="1"/>
  <c r="D69"/>
  <c r="H69" s="1"/>
  <c r="D70"/>
  <c r="H70" s="1"/>
  <c r="D71"/>
  <c r="H71" s="1"/>
  <c r="D72"/>
  <c r="H72" s="1"/>
  <c r="D73"/>
  <c r="H73" s="1"/>
  <c r="D74"/>
  <c r="H74" s="1"/>
  <c r="D75"/>
  <c r="H75" s="1"/>
  <c r="D76"/>
  <c r="H76" s="1"/>
  <c r="D77"/>
  <c r="H77" s="1"/>
  <c r="D78"/>
  <c r="H78" s="1"/>
  <c r="D79"/>
  <c r="H79" s="1"/>
  <c r="D80"/>
  <c r="H80" s="1"/>
  <c r="D81"/>
  <c r="H81" s="1"/>
  <c r="D82"/>
  <c r="H82" s="1"/>
  <c r="D83"/>
  <c r="H83" s="1"/>
  <c r="D84"/>
  <c r="H84" s="1"/>
  <c r="D85"/>
  <c r="H85" s="1"/>
  <c r="D86"/>
  <c r="H86" s="1"/>
  <c r="D87"/>
  <c r="H87" s="1"/>
  <c r="D88"/>
  <c r="H88" s="1"/>
  <c r="D89"/>
  <c r="H89" s="1"/>
  <c r="D90"/>
  <c r="H90" s="1"/>
  <c r="D91"/>
  <c r="H91" s="1"/>
  <c r="D92"/>
  <c r="H92" s="1"/>
  <c r="D93"/>
  <c r="H93" s="1"/>
  <c r="D94"/>
  <c r="H94" s="1"/>
  <c r="D95"/>
  <c r="H95" s="1"/>
  <c r="D96"/>
  <c r="H96" s="1"/>
  <c r="D97"/>
  <c r="H97" s="1"/>
  <c r="D98"/>
  <c r="H98" s="1"/>
  <c r="D99"/>
  <c r="H99" s="1"/>
  <c r="D100"/>
  <c r="H100" s="1"/>
  <c r="D101"/>
  <c r="H101" s="1"/>
  <c r="D102"/>
  <c r="H102" s="1"/>
  <c r="D103"/>
  <c r="H103" s="1"/>
  <c r="D104"/>
  <c r="H104" s="1"/>
  <c r="D105"/>
  <c r="H105" s="1"/>
  <c r="D106"/>
  <c r="H106" s="1"/>
  <c r="D107"/>
  <c r="H107" s="1"/>
  <c r="D108"/>
  <c r="H108" s="1"/>
  <c r="D109"/>
  <c r="H109" s="1"/>
  <c r="D110"/>
  <c r="H110" s="1"/>
  <c r="D111"/>
  <c r="H111" s="1"/>
  <c r="D112"/>
  <c r="H112" s="1"/>
  <c r="D113"/>
  <c r="H113" s="1"/>
  <c r="D114"/>
  <c r="H114" s="1"/>
  <c r="D115"/>
  <c r="H115" s="1"/>
  <c r="D116"/>
  <c r="H116" s="1"/>
  <c r="D117"/>
  <c r="H117" s="1"/>
  <c r="D118"/>
  <c r="H118" s="1"/>
  <c r="D119"/>
  <c r="H119" s="1"/>
  <c r="D120"/>
  <c r="H120" s="1"/>
  <c r="D121"/>
  <c r="H121" s="1"/>
  <c r="D122"/>
  <c r="H122" s="1"/>
  <c r="D123"/>
  <c r="H123" s="1"/>
  <c r="D124"/>
  <c r="H124" s="1"/>
  <c r="D125"/>
  <c r="H125" s="1"/>
  <c r="D126"/>
  <c r="H126" s="1"/>
  <c r="D127"/>
  <c r="H127" s="1"/>
  <c r="D128"/>
  <c r="H128" s="1"/>
  <c r="D129"/>
  <c r="H129" s="1"/>
  <c r="D130"/>
  <c r="H130" s="1"/>
  <c r="D131"/>
  <c r="H131" s="1"/>
  <c r="D132"/>
  <c r="H132" s="1"/>
  <c r="D133"/>
  <c r="H133" s="1"/>
  <c r="D134"/>
  <c r="H134" s="1"/>
  <c r="D135"/>
  <c r="H135" s="1"/>
  <c r="D136"/>
  <c r="H136" s="1"/>
  <c r="D137"/>
  <c r="H137" s="1"/>
  <c r="D138"/>
  <c r="H138" s="1"/>
  <c r="D139"/>
  <c r="H139" s="1"/>
  <c r="D140"/>
  <c r="H140" s="1"/>
  <c r="D141"/>
  <c r="H141" s="1"/>
  <c r="D142"/>
  <c r="H142" s="1"/>
  <c r="D143"/>
  <c r="H143" s="1"/>
  <c r="D144"/>
  <c r="H144" s="1"/>
  <c r="D145"/>
  <c r="H145" s="1"/>
  <c r="D146"/>
  <c r="H146" s="1"/>
  <c r="D147"/>
  <c r="H147" s="1"/>
  <c r="D148"/>
  <c r="H148" s="1"/>
  <c r="D149"/>
  <c r="H149" s="1"/>
  <c r="D150"/>
  <c r="H150" s="1"/>
  <c r="D151"/>
  <c r="H151" s="1"/>
  <c r="D152"/>
  <c r="H152" s="1"/>
  <c r="D153"/>
  <c r="H153" s="1"/>
  <c r="D154"/>
  <c r="H154" s="1"/>
  <c r="D155"/>
  <c r="H155" s="1"/>
  <c r="D156"/>
  <c r="H156" s="1"/>
  <c r="D157"/>
  <c r="H157" s="1"/>
  <c r="D158"/>
  <c r="H158" s="1"/>
  <c r="D159"/>
  <c r="H159" s="1"/>
  <c r="D160"/>
  <c r="H160" s="1"/>
  <c r="D161"/>
  <c r="H161" s="1"/>
  <c r="D162"/>
  <c r="H162" s="1"/>
  <c r="D163"/>
  <c r="H163" s="1"/>
  <c r="D164"/>
  <c r="H164" s="1"/>
  <c r="D165"/>
  <c r="H165" s="1"/>
  <c r="D166"/>
  <c r="H166" s="1"/>
  <c r="D167"/>
  <c r="H167" s="1"/>
  <c r="D168"/>
  <c r="H168" s="1"/>
  <c r="D169"/>
  <c r="H169" s="1"/>
  <c r="D170"/>
  <c r="H170" s="1"/>
  <c r="D171"/>
  <c r="H171" s="1"/>
  <c r="D172"/>
  <c r="H172" s="1"/>
  <c r="D173"/>
  <c r="H173" s="1"/>
  <c r="D174"/>
  <c r="H174" s="1"/>
  <c r="D175"/>
  <c r="H175" s="1"/>
  <c r="D176"/>
  <c r="H176" s="1"/>
  <c r="D177"/>
  <c r="H177" s="1"/>
  <c r="D178"/>
  <c r="H178" s="1"/>
  <c r="D179"/>
  <c r="H179" s="1"/>
  <c r="D180"/>
  <c r="H180" s="1"/>
  <c r="D181"/>
  <c r="H181" s="1"/>
  <c r="D182"/>
  <c r="H182" s="1"/>
  <c r="D183"/>
  <c r="H183" s="1"/>
  <c r="D184"/>
  <c r="H184" s="1"/>
  <c r="D185"/>
  <c r="H185" s="1"/>
  <c r="D186"/>
  <c r="H186" s="1"/>
  <c r="D187"/>
  <c r="H187" s="1"/>
  <c r="D188"/>
  <c r="H188" s="1"/>
  <c r="D189"/>
  <c r="H189" s="1"/>
  <c r="D190"/>
  <c r="H190" s="1"/>
  <c r="D191"/>
  <c r="H191" s="1"/>
  <c r="D192"/>
  <c r="H192" s="1"/>
  <c r="D193"/>
  <c r="H193" s="1"/>
  <c r="D194"/>
  <c r="H194" s="1"/>
  <c r="D195"/>
  <c r="H195" s="1"/>
  <c r="D196"/>
  <c r="H196" s="1"/>
  <c r="D197"/>
  <c r="H197" s="1"/>
  <c r="D198"/>
  <c r="H198" s="1"/>
  <c r="D199"/>
  <c r="H199" s="1"/>
  <c r="D200"/>
  <c r="H200" s="1"/>
  <c r="D201"/>
  <c r="H201" s="1"/>
  <c r="D202"/>
  <c r="H202" s="1"/>
  <c r="D203"/>
  <c r="H203" s="1"/>
  <c r="D204"/>
  <c r="H204" s="1"/>
  <c r="D205"/>
  <c r="H205" s="1"/>
  <c r="D206"/>
  <c r="H206" s="1"/>
  <c r="D207"/>
  <c r="H207" s="1"/>
  <c r="D208"/>
  <c r="H208" s="1"/>
  <c r="D209"/>
  <c r="H209" s="1"/>
  <c r="D210"/>
  <c r="H210" s="1"/>
  <c r="D211"/>
  <c r="H211" s="1"/>
  <c r="D212"/>
  <c r="H212" s="1"/>
  <c r="D213"/>
  <c r="H213" s="1"/>
  <c r="D214"/>
  <c r="H214" s="1"/>
  <c r="D215"/>
  <c r="H215" s="1"/>
  <c r="D216"/>
  <c r="H216" s="1"/>
  <c r="D217"/>
  <c r="H217" s="1"/>
  <c r="D218"/>
  <c r="H218" s="1"/>
  <c r="D219"/>
  <c r="H219" s="1"/>
  <c r="D220"/>
  <c r="H220" s="1"/>
  <c r="D221"/>
  <c r="H221" s="1"/>
  <c r="D222"/>
  <c r="H222" s="1"/>
  <c r="D223"/>
  <c r="H223" s="1"/>
  <c r="D224"/>
  <c r="H224" s="1"/>
  <c r="D225"/>
  <c r="H225" s="1"/>
  <c r="D226"/>
  <c r="H226" s="1"/>
  <c r="D227"/>
  <c r="H227" s="1"/>
  <c r="D228"/>
  <c r="H228" s="1"/>
  <c r="D229"/>
  <c r="H229" s="1"/>
  <c r="D230"/>
  <c r="H230" s="1"/>
  <c r="D231"/>
  <c r="H231" s="1"/>
  <c r="D232"/>
  <c r="H232" s="1"/>
  <c r="D233"/>
  <c r="H233" s="1"/>
  <c r="D234"/>
  <c r="H234" s="1"/>
  <c r="D235"/>
  <c r="H235" s="1"/>
  <c r="D236"/>
  <c r="H236" s="1"/>
  <c r="D237"/>
  <c r="H237" s="1"/>
  <c r="D238"/>
  <c r="H238" s="1"/>
  <c r="D239"/>
  <c r="H239" s="1"/>
  <c r="D240"/>
  <c r="H240" s="1"/>
  <c r="D241"/>
  <c r="H241" s="1"/>
  <c r="D242"/>
  <c r="H242" s="1"/>
  <c r="D243"/>
  <c r="H243" s="1"/>
  <c r="D244"/>
  <c r="H244" s="1"/>
  <c r="D245"/>
  <c r="H245" s="1"/>
  <c r="D246"/>
  <c r="H246" s="1"/>
  <c r="D247"/>
  <c r="H247" s="1"/>
  <c r="D248"/>
  <c r="H248" s="1"/>
  <c r="D249"/>
  <c r="H249" s="1"/>
  <c r="D250"/>
  <c r="H250" s="1"/>
  <c r="D251"/>
  <c r="H251" s="1"/>
  <c r="D252"/>
  <c r="H252" s="1"/>
  <c r="D253"/>
  <c r="H253" s="1"/>
  <c r="D254"/>
  <c r="H254" s="1"/>
  <c r="D255"/>
  <c r="H255" s="1"/>
  <c r="D256"/>
  <c r="H256" s="1"/>
  <c r="D257"/>
  <c r="H257" s="1"/>
  <c r="D258"/>
  <c r="H258" s="1"/>
  <c r="D259"/>
  <c r="H259" s="1"/>
  <c r="D260"/>
  <c r="H260" s="1"/>
  <c r="D261"/>
  <c r="H261" s="1"/>
  <c r="D262"/>
  <c r="H262" s="1"/>
  <c r="D263"/>
  <c r="H263" s="1"/>
  <c r="D264"/>
  <c r="H264" s="1"/>
  <c r="D265"/>
  <c r="H265" s="1"/>
  <c r="D266"/>
  <c r="H266" s="1"/>
  <c r="D267"/>
  <c r="H267" s="1"/>
  <c r="D268"/>
  <c r="H268" s="1"/>
  <c r="D269"/>
  <c r="H269" s="1"/>
  <c r="D270"/>
  <c r="H270" s="1"/>
  <c r="D271"/>
  <c r="H271" s="1"/>
  <c r="D272"/>
  <c r="H272" s="1"/>
  <c r="D273"/>
  <c r="H273" s="1"/>
  <c r="D274"/>
  <c r="H274" s="1"/>
  <c r="D275"/>
  <c r="H275" s="1"/>
  <c r="D276"/>
  <c r="H276" s="1"/>
  <c r="D277"/>
  <c r="H277" s="1"/>
  <c r="D278"/>
  <c r="H278" s="1"/>
  <c r="D279"/>
  <c r="H279" s="1"/>
  <c r="D280"/>
  <c r="H280" s="1"/>
  <c r="D281"/>
  <c r="H281" s="1"/>
  <c r="D282"/>
  <c r="H282" s="1"/>
  <c r="D283"/>
  <c r="H283" s="1"/>
  <c r="D284"/>
  <c r="H284" s="1"/>
  <c r="D285"/>
  <c r="H285" s="1"/>
  <c r="D286"/>
  <c r="H286" s="1"/>
  <c r="D287"/>
  <c r="H287" s="1"/>
  <c r="D288"/>
  <c r="H288" s="1"/>
  <c r="D289"/>
  <c r="H289" s="1"/>
  <c r="D290"/>
  <c r="H290" s="1"/>
  <c r="D291"/>
  <c r="H291" s="1"/>
  <c r="D292"/>
  <c r="H292" s="1"/>
  <c r="D293"/>
  <c r="H293" s="1"/>
  <c r="D294"/>
  <c r="H294" s="1"/>
  <c r="D295"/>
  <c r="H295" s="1"/>
  <c r="D296"/>
  <c r="H296" s="1"/>
  <c r="D297"/>
  <c r="H297" s="1"/>
  <c r="D298"/>
  <c r="H298" s="1"/>
  <c r="D299"/>
  <c r="H299" s="1"/>
  <c r="D300"/>
  <c r="H300" s="1"/>
  <c r="D301"/>
  <c r="H301" s="1"/>
  <c r="D2"/>
  <c r="H2" s="1"/>
  <c r="F3" i="11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2"/>
  <c r="M8" i="1"/>
  <c r="C11" i="5"/>
  <c r="C10"/>
  <c r="C9"/>
  <c r="C8"/>
  <c r="C7"/>
  <c r="C6"/>
  <c r="C5"/>
  <c r="C4"/>
  <c r="C3"/>
  <c r="C2"/>
  <c r="H3" i="11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2"/>
  <c r="K8" i="1"/>
  <c r="G3" i="10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F301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G2"/>
  <c r="F2"/>
  <c r="E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G2" i="11"/>
</calcChain>
</file>

<file path=xl/sharedStrings.xml><?xml version="1.0" encoding="utf-8"?>
<sst xmlns="http://schemas.openxmlformats.org/spreadsheetml/2006/main" count="520" uniqueCount="386">
  <si>
    <t>Patron ID</t>
  </si>
  <si>
    <t>Item Type</t>
  </si>
  <si>
    <t>Borrow Limit</t>
  </si>
  <si>
    <t>2 Hrs</t>
  </si>
  <si>
    <t>4 Hrs</t>
  </si>
  <si>
    <t>1 Day</t>
  </si>
  <si>
    <t>2 Days</t>
  </si>
  <si>
    <t>3 Days</t>
  </si>
  <si>
    <t>7 Days</t>
  </si>
  <si>
    <t>14 Days</t>
  </si>
  <si>
    <t>28 Days</t>
  </si>
  <si>
    <t>91 Days</t>
  </si>
  <si>
    <t>128 Days</t>
  </si>
  <si>
    <t>Sort</t>
  </si>
  <si>
    <t>Test</t>
  </si>
  <si>
    <t>L-1</t>
  </si>
  <si>
    <t>L-2</t>
  </si>
  <si>
    <t>L-3</t>
  </si>
  <si>
    <t>L-4</t>
  </si>
  <si>
    <t>L-5</t>
  </si>
  <si>
    <t>L-6</t>
  </si>
  <si>
    <t>L-7</t>
  </si>
  <si>
    <t>L-8</t>
  </si>
  <si>
    <t>L-9</t>
  </si>
  <si>
    <t>L-10</t>
  </si>
  <si>
    <t>L-11</t>
  </si>
  <si>
    <t>L-12</t>
  </si>
  <si>
    <t>L-13</t>
  </si>
  <si>
    <t>L-14</t>
  </si>
  <si>
    <t>L-15</t>
  </si>
  <si>
    <t>L-16</t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</si>
  <si>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</si>
  <si>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</si>
  <si>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</si>
  <si>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</si>
  <si>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</si>
  <si>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</si>
  <si>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</si>
  <si>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</si>
  <si>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</si>
  <si>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</si>
  <si>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</si>
  <si>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</si>
  <si>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</si>
  <si>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L-30</t>
  </si>
  <si>
    <t>L-31</t>
  </si>
  <si>
    <t>L-32</t>
  </si>
  <si>
    <t>L-33</t>
  </si>
  <si>
    <t>L-34</t>
  </si>
  <si>
    <t>L-35</t>
  </si>
  <si>
    <t>L-36</t>
  </si>
  <si>
    <t>L-37</t>
  </si>
  <si>
    <t>L-38</t>
  </si>
  <si>
    <t>L-39</t>
  </si>
  <si>
    <t>L-40</t>
  </si>
  <si>
    <t>L-41</t>
  </si>
  <si>
    <t>L-42</t>
  </si>
  <si>
    <t>L-43</t>
  </si>
  <si>
    <t>L-44</t>
  </si>
  <si>
    <t>L-45</t>
  </si>
  <si>
    <t>L-46</t>
  </si>
  <si>
    <t>L-47</t>
  </si>
  <si>
    <t>L-48</t>
  </si>
  <si>
    <t>L-49</t>
  </si>
  <si>
    <t>L-50</t>
  </si>
  <si>
    <t>L-51</t>
  </si>
  <si>
    <t>L-52</t>
  </si>
  <si>
    <t>L-53</t>
  </si>
  <si>
    <t>L-54</t>
  </si>
  <si>
    <t>L-55</t>
  </si>
  <si>
    <t>L-56</t>
  </si>
  <si>
    <t>L-57</t>
  </si>
  <si>
    <t>L-58</t>
  </si>
  <si>
    <t>L-59</t>
  </si>
  <si>
    <t>L-60</t>
  </si>
  <si>
    <t>L-61</t>
  </si>
  <si>
    <t>L-62</t>
  </si>
  <si>
    <t>L-63</t>
  </si>
  <si>
    <t>L-64</t>
  </si>
  <si>
    <t>L-65</t>
  </si>
  <si>
    <t>L-66</t>
  </si>
  <si>
    <t>L-67</t>
  </si>
  <si>
    <t>L-68</t>
  </si>
  <si>
    <t>L-69</t>
  </si>
  <si>
    <t>L-70</t>
  </si>
  <si>
    <t>L-71</t>
  </si>
  <si>
    <t>L-72</t>
  </si>
  <si>
    <t>L-73</t>
  </si>
  <si>
    <t>L-74</t>
  </si>
  <si>
    <t>L-75</t>
  </si>
  <si>
    <t>L-76</t>
  </si>
  <si>
    <t>L-77</t>
  </si>
  <si>
    <t>L-78</t>
  </si>
  <si>
    <t>L-79</t>
  </si>
  <si>
    <t>L-80</t>
  </si>
  <si>
    <t>L-81</t>
  </si>
  <si>
    <t>L-82</t>
  </si>
  <si>
    <t>L-83</t>
  </si>
  <si>
    <t>L-84</t>
  </si>
  <si>
    <t>L-85</t>
  </si>
  <si>
    <t>L-86</t>
  </si>
  <si>
    <t>L-87</t>
  </si>
  <si>
    <t>L-88</t>
  </si>
  <si>
    <t>L-89</t>
  </si>
  <si>
    <t>L-90</t>
  </si>
  <si>
    <t>L-91</t>
  </si>
  <si>
    <t>L-92</t>
  </si>
  <si>
    <t>L-93</t>
  </si>
  <si>
    <t>L-94</t>
  </si>
  <si>
    <t>L-95</t>
  </si>
  <si>
    <t>L-96</t>
  </si>
  <si>
    <t>L-97</t>
  </si>
  <si>
    <t>L-98</t>
  </si>
  <si>
    <t>L-99</t>
  </si>
  <si>
    <t>L-100</t>
  </si>
  <si>
    <t>ID</t>
  </si>
  <si>
    <t>Last Name</t>
  </si>
  <si>
    <t>First Name</t>
  </si>
  <si>
    <t>Item ID</t>
  </si>
  <si>
    <t>Title</t>
  </si>
  <si>
    <t>Author</t>
  </si>
  <si>
    <t>Due Date</t>
  </si>
  <si>
    <t>Returned</t>
  </si>
  <si>
    <t>General</t>
  </si>
  <si>
    <t>Hawn</t>
  </si>
  <si>
    <t>Reserves</t>
  </si>
  <si>
    <t>Audio / Visual</t>
  </si>
  <si>
    <t>PaperBack</t>
  </si>
  <si>
    <t>Read</t>
  </si>
  <si>
    <t>Rec-ID</t>
  </si>
  <si>
    <t>Borrow Period</t>
  </si>
  <si>
    <t>Date Returned</t>
  </si>
  <si>
    <t>Yes</t>
  </si>
  <si>
    <t>No</t>
  </si>
  <si>
    <t>Call Number</t>
  </si>
  <si>
    <t>Call #</t>
  </si>
  <si>
    <t>Sistoza</t>
  </si>
  <si>
    <t>Shane</t>
  </si>
  <si>
    <t>Patron Barcode</t>
  </si>
  <si>
    <t>Last Name, First Name</t>
  </si>
  <si>
    <t>Item Title</t>
  </si>
  <si>
    <t>Item Barcode</t>
  </si>
  <si>
    <t>GN 64 .I57 2003</t>
  </si>
  <si>
    <t>Where the wild Stay</t>
  </si>
  <si>
    <t>Kids, Cool</t>
  </si>
  <si>
    <t>KEY</t>
  </si>
  <si>
    <t>Code # for Top</t>
  </si>
  <si>
    <t>Unique ID</t>
  </si>
  <si>
    <t>Description</t>
  </si>
  <si>
    <t>Value</t>
  </si>
  <si>
    <t>There is no need to modify this ID, there are a 100 records for each computer. DO NOT TOUCH!</t>
  </si>
  <si>
    <t>Must be Typed.</t>
  </si>
  <si>
    <t>There is no need to add asterisk, Excel will auto generate it for you, just type the number</t>
  </si>
  <si>
    <t>Drop Down, Data will be validated, exact match only!</t>
  </si>
  <si>
    <t>Auto-Generated! There is no need to type here, unless the due date is wrong!</t>
  </si>
  <si>
    <t xml:space="preserve">Drop Down, not required when charging, but required when returning. </t>
  </si>
  <si>
    <t>Auto-Generated from Returned dropdown. Grabs the current date and time listed on CPU.</t>
  </si>
  <si>
    <t>NOTES</t>
  </si>
  <si>
    <t>TABS</t>
  </si>
  <si>
    <t>CPU-Left</t>
  </si>
  <si>
    <t>CPU-Middle</t>
  </si>
  <si>
    <t>CPU-Right</t>
  </si>
  <si>
    <t>Charged</t>
  </si>
  <si>
    <t>Discharged</t>
  </si>
  <si>
    <t>Print-Charged</t>
  </si>
  <si>
    <t>Print-Discharged</t>
  </si>
  <si>
    <t>Data entry for computer on the most left of circulation, Closest to the Print Dispenser.</t>
  </si>
  <si>
    <t>Data entry for computer in the middle.</t>
  </si>
  <si>
    <t>Data entry for computer on the most right of circ, Closest to the cash register.</t>
  </si>
  <si>
    <t>NON-EDITABLE. Only use for printing reports only.</t>
  </si>
  <si>
    <t>IMPORTANT</t>
  </si>
  <si>
    <t>Note: They are 3 areas to add, this is so you will not add into the same cell. Please used assigned data entry.</t>
  </si>
  <si>
    <t>M-1</t>
  </si>
  <si>
    <t>M-2</t>
  </si>
  <si>
    <t>M-3</t>
  </si>
  <si>
    <t>M-4</t>
  </si>
  <si>
    <t>M-5</t>
  </si>
  <si>
    <t>M-6</t>
  </si>
  <si>
    <t>M-7</t>
  </si>
  <si>
    <t>M-8</t>
  </si>
  <si>
    <t>M-9</t>
  </si>
  <si>
    <t>M-10</t>
  </si>
  <si>
    <t>M-11</t>
  </si>
  <si>
    <t>M-12</t>
  </si>
  <si>
    <t>M-13</t>
  </si>
  <si>
    <t>M-14</t>
  </si>
  <si>
    <t>M-15</t>
  </si>
  <si>
    <t>M-16</t>
  </si>
  <si>
    <t>M-17</t>
  </si>
  <si>
    <t>M-18</t>
  </si>
  <si>
    <t>M-19</t>
  </si>
  <si>
    <t>M-20</t>
  </si>
  <si>
    <t>M-21</t>
  </si>
  <si>
    <t>M-22</t>
  </si>
  <si>
    <t>M-23</t>
  </si>
  <si>
    <t>M-24</t>
  </si>
  <si>
    <t>M-25</t>
  </si>
  <si>
    <t>M-26</t>
  </si>
  <si>
    <t>M-27</t>
  </si>
  <si>
    <t>M-28</t>
  </si>
  <si>
    <t>M-29</t>
  </si>
  <si>
    <t>M-30</t>
  </si>
  <si>
    <t>M-31</t>
  </si>
  <si>
    <t>M-32</t>
  </si>
  <si>
    <t>M-33</t>
  </si>
  <si>
    <t>M-34</t>
  </si>
  <si>
    <t>M-35</t>
  </si>
  <si>
    <t>M-36</t>
  </si>
  <si>
    <t>M-37</t>
  </si>
  <si>
    <t>M-38</t>
  </si>
  <si>
    <t>M-39</t>
  </si>
  <si>
    <t>M-40</t>
  </si>
  <si>
    <t>M-41</t>
  </si>
  <si>
    <t>M-42</t>
  </si>
  <si>
    <t>M-43</t>
  </si>
  <si>
    <t>M-44</t>
  </si>
  <si>
    <t>M-45</t>
  </si>
  <si>
    <t>M-46</t>
  </si>
  <si>
    <t>M-47</t>
  </si>
  <si>
    <t>M-48</t>
  </si>
  <si>
    <t>M-49</t>
  </si>
  <si>
    <t>M-50</t>
  </si>
  <si>
    <t>M-51</t>
  </si>
  <si>
    <t>M-52</t>
  </si>
  <si>
    <t>M-53</t>
  </si>
  <si>
    <t>M-54</t>
  </si>
  <si>
    <t>M-55</t>
  </si>
  <si>
    <t>M-56</t>
  </si>
  <si>
    <t>M-57</t>
  </si>
  <si>
    <t>M-58</t>
  </si>
  <si>
    <t>M-59</t>
  </si>
  <si>
    <t>M-60</t>
  </si>
  <si>
    <t>M-61</t>
  </si>
  <si>
    <t>M-62</t>
  </si>
  <si>
    <t>M-63</t>
  </si>
  <si>
    <t>M-64</t>
  </si>
  <si>
    <t>M-65</t>
  </si>
  <si>
    <t>M-66</t>
  </si>
  <si>
    <t>M-67</t>
  </si>
  <si>
    <t>M-68</t>
  </si>
  <si>
    <t>M-69</t>
  </si>
  <si>
    <t>M-70</t>
  </si>
  <si>
    <t>M-71</t>
  </si>
  <si>
    <t>M-72</t>
  </si>
  <si>
    <t>M-73</t>
  </si>
  <si>
    <t>M-74</t>
  </si>
  <si>
    <t>M-75</t>
  </si>
  <si>
    <t>M-76</t>
  </si>
  <si>
    <t>M-77</t>
  </si>
  <si>
    <t>M-78</t>
  </si>
  <si>
    <t>M-79</t>
  </si>
  <si>
    <t>M-80</t>
  </si>
  <si>
    <t>M-81</t>
  </si>
  <si>
    <t>M-82</t>
  </si>
  <si>
    <t>M-83</t>
  </si>
  <si>
    <t>M-84</t>
  </si>
  <si>
    <t>M-85</t>
  </si>
  <si>
    <t>M-86</t>
  </si>
  <si>
    <t>M-87</t>
  </si>
  <si>
    <t>M-88</t>
  </si>
  <si>
    <t>M-89</t>
  </si>
  <si>
    <t>M-90</t>
  </si>
  <si>
    <t>M-91</t>
  </si>
  <si>
    <t>M-92</t>
  </si>
  <si>
    <t>M-93</t>
  </si>
  <si>
    <t>M-94</t>
  </si>
  <si>
    <t>M-95</t>
  </si>
  <si>
    <t>M-96</t>
  </si>
  <si>
    <t>M-97</t>
  </si>
  <si>
    <t>M-98</t>
  </si>
  <si>
    <t>M-99</t>
  </si>
  <si>
    <t>M-100</t>
  </si>
  <si>
    <t>R-1</t>
  </si>
  <si>
    <t>R-2</t>
  </si>
  <si>
    <t>R-3</t>
  </si>
  <si>
    <t>R-4</t>
  </si>
  <si>
    <t>R-5</t>
  </si>
  <si>
    <t>R-6</t>
  </si>
  <si>
    <t>R-7</t>
  </si>
  <si>
    <t>R-8</t>
  </si>
  <si>
    <t>R-9</t>
  </si>
  <si>
    <t>R-10</t>
  </si>
  <si>
    <t>R-11</t>
  </si>
  <si>
    <t>R-12</t>
  </si>
  <si>
    <t>R-13</t>
  </si>
  <si>
    <t>R-14</t>
  </si>
  <si>
    <t>R-15</t>
  </si>
  <si>
    <t>R-16</t>
  </si>
  <si>
    <t>R-17</t>
  </si>
  <si>
    <t>R-18</t>
  </si>
  <si>
    <t>R-19</t>
  </si>
  <si>
    <t>R-20</t>
  </si>
  <si>
    <t>R-21</t>
  </si>
  <si>
    <t>R-22</t>
  </si>
  <si>
    <t>R-23</t>
  </si>
  <si>
    <t>R-24</t>
  </si>
  <si>
    <t>R-25</t>
  </si>
  <si>
    <t>R-26</t>
  </si>
  <si>
    <t>R-27</t>
  </si>
  <si>
    <t>R-28</t>
  </si>
  <si>
    <t>R-29</t>
  </si>
  <si>
    <t>R-30</t>
  </si>
  <si>
    <t>R-31</t>
  </si>
  <si>
    <t>R-32</t>
  </si>
  <si>
    <t>R-33</t>
  </si>
  <si>
    <t>R-34</t>
  </si>
  <si>
    <t>R-35</t>
  </si>
  <si>
    <t>R-36</t>
  </si>
  <si>
    <t>R-37</t>
  </si>
  <si>
    <t>R-38</t>
  </si>
  <si>
    <t>R-39</t>
  </si>
  <si>
    <t>R-40</t>
  </si>
  <si>
    <t>R-41</t>
  </si>
  <si>
    <t>R-42</t>
  </si>
  <si>
    <t>R-43</t>
  </si>
  <si>
    <t>R-44</t>
  </si>
  <si>
    <t>R-45</t>
  </si>
  <si>
    <t>R-46</t>
  </si>
  <si>
    <t>R-47</t>
  </si>
  <si>
    <t>R-48</t>
  </si>
  <si>
    <t>R-49</t>
  </si>
  <si>
    <t>R-50</t>
  </si>
  <si>
    <t>R-51</t>
  </si>
  <si>
    <t>R-52</t>
  </si>
  <si>
    <t>R-53</t>
  </si>
  <si>
    <t>R-54</t>
  </si>
  <si>
    <t>R-55</t>
  </si>
  <si>
    <t>R-56</t>
  </si>
  <si>
    <t>R-57</t>
  </si>
  <si>
    <t>R-58</t>
  </si>
  <si>
    <t>R-59</t>
  </si>
  <si>
    <t>R-60</t>
  </si>
  <si>
    <t>R-61</t>
  </si>
  <si>
    <t>R-62</t>
  </si>
  <si>
    <t>R-63</t>
  </si>
  <si>
    <t>R-64</t>
  </si>
  <si>
    <t>R-65</t>
  </si>
  <si>
    <t>R-66</t>
  </si>
  <si>
    <t>R-67</t>
  </si>
  <si>
    <t>R-68</t>
  </si>
  <si>
    <t>R-69</t>
  </si>
  <si>
    <t>R-70</t>
  </si>
  <si>
    <t>R-71</t>
  </si>
  <si>
    <t>R-72</t>
  </si>
  <si>
    <t>R-73</t>
  </si>
  <si>
    <t>R-74</t>
  </si>
  <si>
    <t>R-75</t>
  </si>
  <si>
    <t>R-76</t>
  </si>
  <si>
    <t>R-77</t>
  </si>
  <si>
    <t>R-78</t>
  </si>
  <si>
    <t>R-79</t>
  </si>
  <si>
    <t>R-80</t>
  </si>
  <si>
    <t>R-81</t>
  </si>
  <si>
    <t>R-82</t>
  </si>
  <si>
    <t>R-83</t>
  </si>
  <si>
    <t>R-84</t>
  </si>
  <si>
    <t>R-85</t>
  </si>
  <si>
    <t>R-86</t>
  </si>
  <si>
    <t>R-87</t>
  </si>
  <si>
    <t>R-88</t>
  </si>
  <si>
    <t>R-89</t>
  </si>
  <si>
    <t>R-90</t>
  </si>
  <si>
    <t>R-91</t>
  </si>
  <si>
    <t>R-92</t>
  </si>
  <si>
    <t>R-93</t>
  </si>
  <si>
    <t>R-94</t>
  </si>
  <si>
    <t>R-95</t>
  </si>
  <si>
    <t>R-96</t>
  </si>
  <si>
    <t>R-97</t>
  </si>
  <si>
    <t>R-98</t>
  </si>
  <si>
    <t>R-99</t>
  </si>
  <si>
    <t>R-100</t>
  </si>
  <si>
    <t>Set Due Date</t>
  </si>
  <si>
    <t>Auto-Generated, Confirms borrow limit matches due date.</t>
  </si>
  <si>
    <t>NON-EDITABLE. Only used for printing reports only.</t>
  </si>
  <si>
    <t>The only time you edit the other colored tabs, is when an item is being returned</t>
  </si>
  <si>
    <t>Study Room</t>
  </si>
  <si>
    <t>NON-EDITABLE. Can only be changed from CPU-Tabs. This is the reason for Unique ID's. In order to see any changes, the file must be saved.</t>
  </si>
  <si>
    <t>NON-EDITABLE. Shows a list of everything that is currently Charged. Inorder to see any changes, the file must be saved.</t>
  </si>
  <si>
    <t>NON-EDITABLE. Shows a list of everything that is discharged. Inorder to see any changes, the file must be saved.</t>
  </si>
  <si>
    <t>Index</t>
  </si>
  <si>
    <t>THIS IS A TEMPLATE YOU MUST FIRST SAVE A COPY WITH FILE EXTENSION .xlsm</t>
  </si>
  <si>
    <t>3. To modify a auto-generated due-date, just modify the cell to correct date and time.</t>
  </si>
  <si>
    <t>In order for multi-users to use the same file, please save it into Public Documents on middle computer.</t>
  </si>
  <si>
    <t>1. Only Input Data, in COLORED TABS. Left, for Left most cpu, middle for middle cpu, right for right-cpu.</t>
  </si>
  <si>
    <t>2. Always save after each entry, This ensures that it will be logged in all non-editable tabs. (Colored gray)</t>
  </si>
</sst>
</file>

<file path=xl/styles.xml><?xml version="1.0" encoding="utf-8"?>
<styleSheet xmlns="http://schemas.openxmlformats.org/spreadsheetml/2006/main">
  <numFmts count="3">
    <numFmt numFmtId="164" formatCode="[$-409]m/d/yy\ h:mm\ AM/PM;@"/>
    <numFmt numFmtId="165" formatCode="[$-409]d\-mmm\-yyyy;@"/>
    <numFmt numFmtId="166" formatCode="m/d/yyyy\ h:mm\ AM/PM"/>
  </numFmts>
  <fonts count="12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Webdings"/>
      <family val="1"/>
      <charset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36"/>
      <color theme="1"/>
      <name val="Barcode 3 of 9"/>
    </font>
    <font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double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double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3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7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2" borderId="0" xfId="0" applyFont="1" applyFill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2" xfId="0" applyBorder="1"/>
    <xf numFmtId="0" fontId="0" fillId="0" borderId="3" xfId="0" applyBorder="1"/>
    <xf numFmtId="0" fontId="0" fillId="3" borderId="2" xfId="0" applyFill="1" applyBorder="1"/>
    <xf numFmtId="0" fontId="0" fillId="3" borderId="3" xfId="0" applyFill="1" applyBorder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0" fontId="0" fillId="5" borderId="0" xfId="0" applyFill="1"/>
    <xf numFmtId="164" fontId="1" fillId="0" borderId="0" xfId="0" applyNumberFormat="1" applyFont="1"/>
    <xf numFmtId="165" fontId="0" fillId="0" borderId="0" xfId="0" applyNumberFormat="1"/>
    <xf numFmtId="166" fontId="0" fillId="0" borderId="0" xfId="0" applyNumberFormat="1"/>
    <xf numFmtId="164" fontId="1" fillId="0" borderId="0" xfId="0" applyNumberFormat="1" applyFont="1" applyAlignment="1">
      <alignment horizontal="center" vertical="center" wrapText="1"/>
    </xf>
    <xf numFmtId="164" fontId="0" fillId="4" borderId="0" xfId="0" applyNumberFormat="1" applyFill="1"/>
    <xf numFmtId="0" fontId="0" fillId="3" borderId="24" xfId="0" applyFill="1" applyBorder="1"/>
    <xf numFmtId="0" fontId="0" fillId="3" borderId="25" xfId="0" applyFill="1" applyBorder="1"/>
    <xf numFmtId="0" fontId="0" fillId="0" borderId="5" xfId="0" applyFill="1" applyBorder="1"/>
    <xf numFmtId="0" fontId="0" fillId="0" borderId="6" xfId="0" applyFill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top"/>
    </xf>
    <xf numFmtId="0" fontId="6" fillId="0" borderId="43" xfId="0" applyFont="1" applyBorder="1" applyAlignment="1">
      <alignment horizontal="left" vertical="top"/>
    </xf>
    <xf numFmtId="0" fontId="6" fillId="0" borderId="43" xfId="0" applyFont="1" applyBorder="1" applyAlignment="1">
      <alignment horizontal="center" vertical="top"/>
    </xf>
    <xf numFmtId="0" fontId="6" fillId="0" borderId="43" xfId="0" applyFont="1" applyBorder="1" applyAlignment="1">
      <alignment horizontal="center" vertical="top" wrapText="1"/>
    </xf>
    <xf numFmtId="0" fontId="8" fillId="0" borderId="43" xfId="0" applyFont="1" applyBorder="1" applyAlignment="1">
      <alignment horizontal="center" vertical="top"/>
    </xf>
    <xf numFmtId="0" fontId="9" fillId="0" borderId="43" xfId="0" applyFont="1" applyBorder="1" applyAlignment="1">
      <alignment horizontal="center" vertical="top"/>
    </xf>
    <xf numFmtId="164" fontId="7" fillId="0" borderId="43" xfId="0" applyNumberFormat="1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vertical="center" wrapText="1"/>
    </xf>
    <xf numFmtId="164" fontId="7" fillId="0" borderId="43" xfId="0" applyNumberFormat="1" applyFont="1" applyBorder="1" applyAlignment="1">
      <alignment horizontal="center" vertical="center"/>
    </xf>
    <xf numFmtId="0" fontId="7" fillId="0" borderId="0" xfId="0" applyFont="1"/>
    <xf numFmtId="0" fontId="6" fillId="0" borderId="43" xfId="0" applyFont="1" applyBorder="1" applyAlignment="1">
      <alignment horizontal="center" vertical="center"/>
    </xf>
    <xf numFmtId="0" fontId="7" fillId="2" borderId="43" xfId="0" applyFont="1" applyFill="1" applyBorder="1" applyAlignment="1">
      <alignment horizontal="center" vertical="center"/>
    </xf>
    <xf numFmtId="0" fontId="7" fillId="2" borderId="43" xfId="0" applyFont="1" applyFill="1" applyBorder="1" applyAlignment="1">
      <alignment horizontal="center" vertical="center" wrapText="1"/>
    </xf>
    <xf numFmtId="0" fontId="8" fillId="2" borderId="43" xfId="0" applyFont="1" applyFill="1" applyBorder="1" applyAlignment="1">
      <alignment horizontal="center" vertical="top"/>
    </xf>
    <xf numFmtId="0" fontId="9" fillId="2" borderId="43" xfId="0" applyFont="1" applyFill="1" applyBorder="1" applyAlignment="1">
      <alignment horizontal="center" vertical="top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0" fillId="0" borderId="0" xfId="0" applyAlignment="1">
      <alignment horizontal="left"/>
    </xf>
    <xf numFmtId="0" fontId="0" fillId="3" borderId="41" xfId="0" applyFill="1" applyBorder="1" applyAlignment="1">
      <alignment horizontal="left"/>
    </xf>
    <xf numFmtId="0" fontId="0" fillId="3" borderId="42" xfId="0" applyFill="1" applyBorder="1" applyAlignment="1">
      <alignment horizontal="left"/>
    </xf>
    <xf numFmtId="0" fontId="0" fillId="3" borderId="30" xfId="0" applyFill="1" applyBorder="1" applyAlignment="1">
      <alignment horizontal="left" wrapText="1"/>
    </xf>
    <xf numFmtId="0" fontId="0" fillId="3" borderId="31" xfId="0" applyFill="1" applyBorder="1" applyAlignment="1">
      <alignment horizontal="left" wrapText="1"/>
    </xf>
    <xf numFmtId="0" fontId="0" fillId="3" borderId="32" xfId="0" applyFill="1" applyBorder="1" applyAlignment="1">
      <alignment horizontal="left" wrapText="1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14" xfId="0" applyBorder="1" applyAlignment="1"/>
    <xf numFmtId="0" fontId="0" fillId="0" borderId="1" xfId="0" applyBorder="1" applyAlignment="1"/>
    <xf numFmtId="0" fontId="0" fillId="0" borderId="8" xfId="0" applyBorder="1" applyAlignment="1"/>
    <xf numFmtId="0" fontId="0" fillId="3" borderId="14" xfId="0" applyFill="1" applyBorder="1" applyAlignment="1"/>
    <xf numFmtId="0" fontId="0" fillId="3" borderId="1" xfId="0" applyFill="1" applyBorder="1" applyAlignment="1"/>
    <xf numFmtId="0" fontId="0" fillId="3" borderId="8" xfId="0" applyFill="1" applyBorder="1" applyAlignment="1"/>
    <xf numFmtId="0" fontId="0" fillId="0" borderId="14" xfId="0" applyFill="1" applyBorder="1" applyAlignment="1">
      <alignment wrapText="1"/>
    </xf>
    <xf numFmtId="0" fontId="0" fillId="0" borderId="1" xfId="0" applyFill="1" applyBorder="1" applyAlignment="1">
      <alignment wrapText="1"/>
    </xf>
    <xf numFmtId="0" fontId="0" fillId="0" borderId="8" xfId="0" applyFill="1" applyBorder="1" applyAlignment="1">
      <alignment wrapText="1"/>
    </xf>
    <xf numFmtId="0" fontId="0" fillId="3" borderId="7" xfId="0" applyFill="1" applyBorder="1" applyAlignment="1"/>
    <xf numFmtId="0" fontId="0" fillId="3" borderId="12" xfId="0" applyFill="1" applyBorder="1" applyAlignment="1"/>
    <xf numFmtId="0" fontId="0" fillId="0" borderId="0" xfId="0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3" borderId="9" xfId="0" applyFill="1" applyBorder="1" applyAlignment="1"/>
    <xf numFmtId="0" fontId="0" fillId="3" borderId="13" xfId="0" applyFill="1" applyBorder="1" applyAlignment="1"/>
    <xf numFmtId="0" fontId="0" fillId="6" borderId="14" xfId="0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8" xfId="0" applyFill="1" applyBorder="1" applyAlignment="1">
      <alignment wrapText="1"/>
    </xf>
    <xf numFmtId="0" fontId="0" fillId="3" borderId="14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3" borderId="8" xfId="0" applyFill="1" applyBorder="1" applyAlignment="1">
      <alignment wrapText="1"/>
    </xf>
    <xf numFmtId="0" fontId="0" fillId="6" borderId="14" xfId="0" applyFill="1" applyBorder="1" applyAlignment="1"/>
    <xf numFmtId="0" fontId="0" fillId="6" borderId="1" xfId="0" applyFill="1" applyBorder="1" applyAlignment="1"/>
    <xf numFmtId="0" fontId="0" fillId="6" borderId="8" xfId="0" applyFill="1" applyBorder="1" applyAlignment="1"/>
    <xf numFmtId="0" fontId="0" fillId="3" borderId="15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6" borderId="7" xfId="0" applyFill="1" applyBorder="1" applyAlignment="1"/>
    <xf numFmtId="0" fontId="0" fillId="6" borderId="12" xfId="0" applyFill="1" applyBorder="1" applyAlignment="1"/>
    <xf numFmtId="0" fontId="0" fillId="0" borderId="7" xfId="0" applyBorder="1" applyAlignment="1"/>
    <xf numFmtId="0" fontId="0" fillId="0" borderId="12" xfId="0" applyBorder="1" applyAlignment="1"/>
    <xf numFmtId="0" fontId="0" fillId="0" borderId="1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7" xfId="0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1" fillId="3" borderId="19" xfId="0" applyFont="1" applyFill="1" applyBorder="1" applyAlignment="1">
      <alignment horizontal="left"/>
    </xf>
    <xf numFmtId="0" fontId="1" fillId="3" borderId="20" xfId="0" applyFont="1" applyFill="1" applyBorder="1" applyAlignment="1">
      <alignment horizontal="left"/>
    </xf>
    <xf numFmtId="0" fontId="1" fillId="0" borderId="36" xfId="0" applyFont="1" applyBorder="1" applyAlignment="1">
      <alignment horizontal="left"/>
    </xf>
    <xf numFmtId="0" fontId="1" fillId="0" borderId="37" xfId="0" applyFont="1" applyBorder="1" applyAlignment="1">
      <alignment horizontal="left"/>
    </xf>
    <xf numFmtId="0" fontId="1" fillId="0" borderId="38" xfId="0" applyFont="1" applyBorder="1" applyAlignment="1"/>
    <xf numFmtId="0" fontId="1" fillId="0" borderId="39" xfId="0" applyFont="1" applyBorder="1" applyAlignment="1"/>
    <xf numFmtId="0" fontId="1" fillId="0" borderId="40" xfId="0" applyFont="1" applyBorder="1" applyAlignment="1"/>
    <xf numFmtId="0" fontId="10" fillId="0" borderId="44" xfId="0" applyFont="1" applyBorder="1" applyAlignment="1">
      <alignment horizontal="center" vertical="center"/>
    </xf>
    <xf numFmtId="0" fontId="10" fillId="0" borderId="45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11" fillId="0" borderId="16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N44"/>
  <sheetViews>
    <sheetView zoomScale="80" zoomScaleNormal="80" zoomScalePageLayoutView="80" workbookViewId="0">
      <selection activeCell="C4" sqref="C4:I4"/>
    </sheetView>
  </sheetViews>
  <sheetFormatPr defaultColWidth="8.875" defaultRowHeight="15.75"/>
  <cols>
    <col min="1" max="1" width="4" customWidth="1"/>
    <col min="2" max="2" width="14" customWidth="1"/>
    <col min="3" max="3" width="13.625" customWidth="1"/>
    <col min="4" max="4" width="18.125" customWidth="1"/>
    <col min="5" max="5" width="17.875" customWidth="1"/>
    <col min="6" max="6" width="18" customWidth="1"/>
    <col min="8" max="8" width="18.125" customWidth="1"/>
    <col min="9" max="9" width="17.625" customWidth="1"/>
    <col min="11" max="11" width="18.125" customWidth="1"/>
    <col min="12" max="12" width="10.375" customWidth="1"/>
    <col min="13" max="13" width="18.125" customWidth="1"/>
  </cols>
  <sheetData>
    <row r="1" spans="1:14" ht="33.75" customHeight="1" thickTop="1">
      <c r="C1" s="118" t="s">
        <v>381</v>
      </c>
      <c r="D1" s="119"/>
      <c r="E1" s="119"/>
      <c r="F1" s="119"/>
      <c r="G1" s="119"/>
      <c r="H1" s="119"/>
      <c r="I1" s="120"/>
    </row>
    <row r="2" spans="1:14" ht="18.75" customHeight="1">
      <c r="C2" s="124" t="s">
        <v>383</v>
      </c>
      <c r="D2" s="125"/>
      <c r="E2" s="125"/>
      <c r="F2" s="125"/>
      <c r="G2" s="125"/>
      <c r="H2" s="125"/>
      <c r="I2" s="126"/>
    </row>
    <row r="3" spans="1:14">
      <c r="C3" s="107" t="s">
        <v>384</v>
      </c>
      <c r="D3" s="108"/>
      <c r="E3" s="108"/>
      <c r="F3" s="108"/>
      <c r="G3" s="108"/>
      <c r="H3" s="108"/>
      <c r="I3" s="109"/>
    </row>
    <row r="4" spans="1:14">
      <c r="C4" s="107" t="s">
        <v>385</v>
      </c>
      <c r="D4" s="108"/>
      <c r="E4" s="108"/>
      <c r="F4" s="108"/>
      <c r="G4" s="108"/>
      <c r="H4" s="108"/>
      <c r="I4" s="109"/>
    </row>
    <row r="5" spans="1:14" ht="16.5" thickBot="1">
      <c r="C5" s="121" t="s">
        <v>382</v>
      </c>
      <c r="D5" s="122"/>
      <c r="E5" s="122"/>
      <c r="F5" s="122"/>
      <c r="G5" s="122"/>
      <c r="H5" s="122"/>
      <c r="I5" s="123"/>
    </row>
    <row r="6" spans="1:14" ht="16.5" thickTop="1">
      <c r="C6" s="49"/>
      <c r="D6" s="49"/>
      <c r="E6" s="49"/>
      <c r="F6" s="49"/>
      <c r="G6" s="49"/>
      <c r="H6" s="49"/>
      <c r="I6" s="49"/>
    </row>
    <row r="7" spans="1:14" ht="31.5">
      <c r="A7" s="5" t="s">
        <v>115</v>
      </c>
      <c r="B7" s="5" t="s">
        <v>0</v>
      </c>
      <c r="C7" s="5" t="s">
        <v>116</v>
      </c>
      <c r="D7" s="5" t="s">
        <v>117</v>
      </c>
      <c r="E7" s="5" t="s">
        <v>118</v>
      </c>
      <c r="F7" s="5" t="s">
        <v>134</v>
      </c>
      <c r="G7" s="5" t="s">
        <v>1</v>
      </c>
      <c r="H7" s="5" t="s">
        <v>119</v>
      </c>
      <c r="I7" s="5" t="s">
        <v>120</v>
      </c>
      <c r="J7" s="5" t="s">
        <v>2</v>
      </c>
      <c r="K7" s="24" t="s">
        <v>121</v>
      </c>
      <c r="L7" s="5" t="s">
        <v>122</v>
      </c>
      <c r="M7" s="5" t="s">
        <v>131</v>
      </c>
      <c r="N7" s="5" t="s">
        <v>372</v>
      </c>
    </row>
    <row r="8" spans="1:14">
      <c r="A8" s="3" t="s">
        <v>15</v>
      </c>
      <c r="B8">
        <v>19859564</v>
      </c>
      <c r="C8" t="s">
        <v>136</v>
      </c>
      <c r="D8" t="s">
        <v>137</v>
      </c>
      <c r="E8">
        <v>80000123456</v>
      </c>
      <c r="F8" t="s">
        <v>142</v>
      </c>
      <c r="G8" t="s">
        <v>123</v>
      </c>
      <c r="H8" t="s">
        <v>143</v>
      </c>
      <c r="I8" t="s">
        <v>144</v>
      </c>
      <c r="J8" t="s">
        <v>5</v>
      </c>
      <c r="K8" s="1">
        <f ca="1">IF(ISBLANK(J8),"",CHOOSE(INDEX(Data!$A$2:$B$11,MATCH(J8,Data!$A$2:$A$11,0),2),NOW()+2/24,NOW()+4/24,NOW()+1,NOW()+2,NOW()+3,NOW()+7,NOW()+14,NOW()+28,NOW()+91,NOW()+128))</f>
        <v>42283.615969675928</v>
      </c>
      <c r="L8" t="s">
        <v>132</v>
      </c>
      <c r="M8" s="1">
        <f ca="1">IF(OR(ISBLANK(L8),L8="No"),"",NOW())</f>
        <v>42282.615969675928</v>
      </c>
      <c r="N8" t="s">
        <v>5</v>
      </c>
    </row>
    <row r="9" spans="1:14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  <c r="K9">
        <v>11</v>
      </c>
      <c r="L9">
        <v>12</v>
      </c>
      <c r="M9">
        <v>13</v>
      </c>
      <c r="N9">
        <v>14</v>
      </c>
    </row>
    <row r="10" spans="1:14" ht="16.5" thickBot="1"/>
    <row r="11" spans="1:14" ht="16.5" thickTop="1">
      <c r="C11" s="55" t="s">
        <v>170</v>
      </c>
      <c r="D11" s="56"/>
      <c r="E11" s="56"/>
      <c r="F11" s="56"/>
      <c r="G11" s="56"/>
      <c r="H11" s="56"/>
      <c r="I11" s="57"/>
    </row>
    <row r="12" spans="1:14">
      <c r="C12" s="107" t="s">
        <v>171</v>
      </c>
      <c r="D12" s="108"/>
      <c r="E12" s="108"/>
      <c r="F12" s="108"/>
      <c r="G12" s="108"/>
      <c r="H12" s="108"/>
      <c r="I12" s="109"/>
    </row>
    <row r="13" spans="1:14" ht="16.5" thickBot="1">
      <c r="C13" s="110" t="s">
        <v>375</v>
      </c>
      <c r="D13" s="111"/>
      <c r="E13" s="111"/>
      <c r="F13" s="111"/>
      <c r="G13" s="111"/>
      <c r="H13" s="111"/>
      <c r="I13" s="112"/>
    </row>
    <row r="14" spans="1:14" ht="16.5" customHeight="1" thickTop="1"/>
    <row r="15" spans="1:14" ht="16.5" thickBot="1"/>
    <row r="16" spans="1:14" ht="16.5" thickTop="1">
      <c r="C16" s="55" t="s">
        <v>145</v>
      </c>
      <c r="D16" s="56"/>
      <c r="E16" s="56"/>
      <c r="F16" s="56"/>
      <c r="G16" s="56"/>
      <c r="H16" s="56"/>
      <c r="I16" s="57"/>
      <c r="J16" s="10"/>
    </row>
    <row r="17" spans="3:13">
      <c r="C17" s="11" t="s">
        <v>146</v>
      </c>
      <c r="D17" s="12" t="s">
        <v>149</v>
      </c>
      <c r="E17" s="58" t="s">
        <v>148</v>
      </c>
      <c r="F17" s="59"/>
      <c r="G17" s="59"/>
      <c r="H17" s="59"/>
      <c r="I17" s="60"/>
    </row>
    <row r="18" spans="3:13">
      <c r="C18" s="15">
        <v>1</v>
      </c>
      <c r="D18" s="16" t="s">
        <v>147</v>
      </c>
      <c r="E18" s="85" t="s">
        <v>150</v>
      </c>
      <c r="F18" s="85"/>
      <c r="G18" s="85"/>
      <c r="H18" s="85"/>
      <c r="I18" s="86"/>
    </row>
    <row r="19" spans="3:13">
      <c r="C19" s="13">
        <v>2</v>
      </c>
      <c r="D19" s="14" t="s">
        <v>0</v>
      </c>
      <c r="E19" s="87" t="s">
        <v>152</v>
      </c>
      <c r="F19" s="87"/>
      <c r="G19" s="87"/>
      <c r="H19" s="87"/>
      <c r="I19" s="88"/>
    </row>
    <row r="20" spans="3:13">
      <c r="C20" s="15">
        <v>3</v>
      </c>
      <c r="D20" s="16" t="s">
        <v>116</v>
      </c>
      <c r="E20" s="66" t="s">
        <v>151</v>
      </c>
      <c r="F20" s="66"/>
      <c r="G20" s="66"/>
      <c r="H20" s="66"/>
      <c r="I20" s="67"/>
      <c r="J20" s="30"/>
      <c r="K20" s="84"/>
      <c r="L20" s="84"/>
      <c r="M20" s="84"/>
    </row>
    <row r="21" spans="3:13">
      <c r="C21" s="13">
        <v>4</v>
      </c>
      <c r="D21" s="14" t="s">
        <v>117</v>
      </c>
      <c r="E21" s="64" t="s">
        <v>151</v>
      </c>
      <c r="F21" s="64"/>
      <c r="G21" s="64"/>
      <c r="H21" s="64"/>
      <c r="I21" s="65"/>
    </row>
    <row r="22" spans="3:13">
      <c r="C22" s="15">
        <v>5</v>
      </c>
      <c r="D22" s="16" t="s">
        <v>118</v>
      </c>
      <c r="E22" s="66" t="s">
        <v>152</v>
      </c>
      <c r="F22" s="66"/>
      <c r="G22" s="66"/>
      <c r="H22" s="66"/>
      <c r="I22" s="67"/>
    </row>
    <row r="23" spans="3:13">
      <c r="C23" s="13">
        <v>6</v>
      </c>
      <c r="D23" s="14" t="s">
        <v>134</v>
      </c>
      <c r="E23" s="64" t="s">
        <v>151</v>
      </c>
      <c r="F23" s="64"/>
      <c r="G23" s="64"/>
      <c r="H23" s="64"/>
      <c r="I23" s="65"/>
    </row>
    <row r="24" spans="3:13">
      <c r="C24" s="15">
        <v>7</v>
      </c>
      <c r="D24" s="16" t="s">
        <v>1</v>
      </c>
      <c r="E24" s="66" t="s">
        <v>153</v>
      </c>
      <c r="F24" s="66"/>
      <c r="G24" s="66"/>
      <c r="H24" s="66"/>
      <c r="I24" s="67"/>
    </row>
    <row r="25" spans="3:13">
      <c r="C25" s="13">
        <v>8</v>
      </c>
      <c r="D25" s="14" t="s">
        <v>119</v>
      </c>
      <c r="E25" s="64" t="s">
        <v>151</v>
      </c>
      <c r="F25" s="64"/>
      <c r="G25" s="64"/>
      <c r="H25" s="64"/>
      <c r="I25" s="65"/>
    </row>
    <row r="26" spans="3:13">
      <c r="C26" s="15">
        <v>9</v>
      </c>
      <c r="D26" s="16" t="s">
        <v>120</v>
      </c>
      <c r="E26" s="66" t="s">
        <v>151</v>
      </c>
      <c r="F26" s="66"/>
      <c r="G26" s="66"/>
      <c r="H26" s="66"/>
      <c r="I26" s="67"/>
    </row>
    <row r="27" spans="3:13">
      <c r="C27" s="13">
        <v>10</v>
      </c>
      <c r="D27" s="14" t="s">
        <v>2</v>
      </c>
      <c r="E27" s="64" t="s">
        <v>153</v>
      </c>
      <c r="F27" s="64"/>
      <c r="G27" s="64"/>
      <c r="H27" s="64"/>
      <c r="I27" s="65"/>
    </row>
    <row r="28" spans="3:13">
      <c r="C28" s="15">
        <v>11</v>
      </c>
      <c r="D28" s="16" t="s">
        <v>121</v>
      </c>
      <c r="E28" s="66" t="s">
        <v>154</v>
      </c>
      <c r="F28" s="66"/>
      <c r="G28" s="66"/>
      <c r="H28" s="66"/>
      <c r="I28" s="67"/>
    </row>
    <row r="29" spans="3:13">
      <c r="C29" s="13">
        <v>12</v>
      </c>
      <c r="D29" s="14" t="s">
        <v>122</v>
      </c>
      <c r="E29" s="64" t="s">
        <v>155</v>
      </c>
      <c r="F29" s="64"/>
      <c r="G29" s="64"/>
      <c r="H29" s="64"/>
      <c r="I29" s="65"/>
    </row>
    <row r="30" spans="3:13">
      <c r="C30" s="26">
        <v>13</v>
      </c>
      <c r="D30" s="27" t="s">
        <v>131</v>
      </c>
      <c r="E30" s="68" t="s">
        <v>156</v>
      </c>
      <c r="F30" s="68"/>
      <c r="G30" s="68"/>
      <c r="H30" s="68"/>
      <c r="I30" s="69"/>
    </row>
    <row r="31" spans="3:13" ht="16.5" thickBot="1">
      <c r="C31" s="28">
        <v>14</v>
      </c>
      <c r="D31" s="29" t="s">
        <v>372</v>
      </c>
      <c r="E31" s="70" t="s">
        <v>373</v>
      </c>
      <c r="F31" s="71"/>
      <c r="G31" s="71"/>
      <c r="H31" s="71"/>
      <c r="I31" s="72"/>
    </row>
    <row r="32" spans="3:13" ht="17.25" thickTop="1" thickBot="1"/>
    <row r="33" spans="3:9" ht="17.25" thickTop="1" thickBot="1">
      <c r="C33" s="61" t="s">
        <v>157</v>
      </c>
      <c r="D33" s="62"/>
      <c r="E33" s="62"/>
      <c r="F33" s="62"/>
      <c r="G33" s="62"/>
      <c r="H33" s="62"/>
      <c r="I33" s="63"/>
    </row>
    <row r="34" spans="3:9" ht="16.5" thickTop="1">
      <c r="C34" s="113" t="s">
        <v>158</v>
      </c>
      <c r="D34" s="114"/>
      <c r="E34" s="115" t="s">
        <v>148</v>
      </c>
      <c r="F34" s="116"/>
      <c r="G34" s="116"/>
      <c r="H34" s="116"/>
      <c r="I34" s="117"/>
    </row>
    <row r="35" spans="3:9">
      <c r="C35" s="82" t="s">
        <v>159</v>
      </c>
      <c r="D35" s="83"/>
      <c r="E35" s="76" t="s">
        <v>166</v>
      </c>
      <c r="F35" s="77"/>
      <c r="G35" s="77"/>
      <c r="H35" s="77"/>
      <c r="I35" s="78"/>
    </row>
    <row r="36" spans="3:9">
      <c r="C36" s="105" t="s">
        <v>160</v>
      </c>
      <c r="D36" s="106"/>
      <c r="E36" s="73" t="s">
        <v>167</v>
      </c>
      <c r="F36" s="74"/>
      <c r="G36" s="74"/>
      <c r="H36" s="74"/>
      <c r="I36" s="75"/>
    </row>
    <row r="37" spans="3:9">
      <c r="C37" s="82" t="s">
        <v>161</v>
      </c>
      <c r="D37" s="83"/>
      <c r="E37" s="76" t="s">
        <v>168</v>
      </c>
      <c r="F37" s="77"/>
      <c r="G37" s="77"/>
      <c r="H37" s="77"/>
      <c r="I37" s="78"/>
    </row>
    <row r="38" spans="3:9">
      <c r="C38" s="105" t="s">
        <v>125</v>
      </c>
      <c r="D38" s="106"/>
      <c r="E38" s="79" t="s">
        <v>377</v>
      </c>
      <c r="F38" s="80"/>
      <c r="G38" s="80"/>
      <c r="H38" s="80"/>
      <c r="I38" s="81"/>
    </row>
    <row r="39" spans="3:9" ht="33" customHeight="1">
      <c r="C39" s="50" t="s">
        <v>376</v>
      </c>
      <c r="D39" s="51"/>
      <c r="E39" s="52" t="s">
        <v>377</v>
      </c>
      <c r="F39" s="53"/>
      <c r="G39" s="53"/>
      <c r="H39" s="53"/>
      <c r="I39" s="54"/>
    </row>
    <row r="40" spans="3:9" ht="33" customHeight="1">
      <c r="C40" s="103" t="s">
        <v>162</v>
      </c>
      <c r="D40" s="104"/>
      <c r="E40" s="91" t="s">
        <v>378</v>
      </c>
      <c r="F40" s="92"/>
      <c r="G40" s="92"/>
      <c r="H40" s="92"/>
      <c r="I40" s="93"/>
    </row>
    <row r="41" spans="3:9" ht="33" customHeight="1">
      <c r="C41" s="82" t="s">
        <v>163</v>
      </c>
      <c r="D41" s="83"/>
      <c r="E41" s="94" t="s">
        <v>379</v>
      </c>
      <c r="F41" s="95"/>
      <c r="G41" s="95"/>
      <c r="H41" s="95"/>
      <c r="I41" s="96"/>
    </row>
    <row r="42" spans="3:9" ht="33" customHeight="1">
      <c r="C42" s="103" t="s">
        <v>164</v>
      </c>
      <c r="D42" s="104"/>
      <c r="E42" s="97" t="s">
        <v>374</v>
      </c>
      <c r="F42" s="98"/>
      <c r="G42" s="98"/>
      <c r="H42" s="98"/>
      <c r="I42" s="99"/>
    </row>
    <row r="43" spans="3:9" ht="15.75" customHeight="1" thickBot="1">
      <c r="C43" s="89" t="s">
        <v>165</v>
      </c>
      <c r="D43" s="90"/>
      <c r="E43" s="100" t="s">
        <v>169</v>
      </c>
      <c r="F43" s="101"/>
      <c r="G43" s="101"/>
      <c r="H43" s="101"/>
      <c r="I43" s="102"/>
    </row>
    <row r="44" spans="3:9" ht="16.5" thickTop="1"/>
  </sheetData>
  <customSheetViews>
    <customSheetView guid="{7656BB3C-1299-4E61-A887-A5F4101AF2AB}" scale="80">
      <selection activeCell="C5" sqref="C5:I5"/>
      <pageMargins left="0.7" right="0.7" top="0.75" bottom="0.75" header="0.3" footer="0.3"/>
      <pageSetup orientation="portrait" r:id="rId1"/>
    </customSheetView>
    <customSheetView guid="{DB3826DE-0319-4671-8564-0DA8C5492560}" scale="80">
      <selection activeCell="C4" sqref="C4:I4"/>
      <pageMargins left="0.7" right="0.7" top="0.75" bottom="0.75" header="0.3" footer="0.3"/>
      <pageSetup orientation="portrait" r:id="rId2"/>
    </customSheetView>
  </customSheetViews>
  <mergeCells count="46">
    <mergeCell ref="C1:I1"/>
    <mergeCell ref="C3:I3"/>
    <mergeCell ref="C4:I4"/>
    <mergeCell ref="C5:I5"/>
    <mergeCell ref="C2:I2"/>
    <mergeCell ref="C36:D36"/>
    <mergeCell ref="C37:D37"/>
    <mergeCell ref="C38:D38"/>
    <mergeCell ref="C12:I12"/>
    <mergeCell ref="C13:I13"/>
    <mergeCell ref="C34:D34"/>
    <mergeCell ref="E34:I34"/>
    <mergeCell ref="E35:I35"/>
    <mergeCell ref="C43:D43"/>
    <mergeCell ref="E40:I40"/>
    <mergeCell ref="E41:I41"/>
    <mergeCell ref="E42:I42"/>
    <mergeCell ref="E43:I43"/>
    <mergeCell ref="C40:D40"/>
    <mergeCell ref="C41:D41"/>
    <mergeCell ref="C42:D42"/>
    <mergeCell ref="C11:I11"/>
    <mergeCell ref="K20:M20"/>
    <mergeCell ref="E24:I24"/>
    <mergeCell ref="E18:I18"/>
    <mergeCell ref="E19:I19"/>
    <mergeCell ref="E20:I20"/>
    <mergeCell ref="E21:I21"/>
    <mergeCell ref="E22:I22"/>
    <mergeCell ref="E23:I23"/>
    <mergeCell ref="C39:D39"/>
    <mergeCell ref="E39:I39"/>
    <mergeCell ref="C16:I16"/>
    <mergeCell ref="E17:I17"/>
    <mergeCell ref="C33:I33"/>
    <mergeCell ref="E25:I25"/>
    <mergeCell ref="E26:I26"/>
    <mergeCell ref="E27:I27"/>
    <mergeCell ref="E28:I28"/>
    <mergeCell ref="E29:I29"/>
    <mergeCell ref="E30:I30"/>
    <mergeCell ref="E31:I31"/>
    <mergeCell ref="E36:I36"/>
    <mergeCell ref="E37:I37"/>
    <mergeCell ref="E38:I38"/>
    <mergeCell ref="C35:D35"/>
  </mergeCells>
  <dataValidations count="3">
    <dataValidation type="list" allowBlank="1" showInputMessage="1" showErrorMessage="1" sqref="L8">
      <formula1>Returned</formula1>
    </dataValidation>
    <dataValidation type="list" allowBlank="1" showInputMessage="1" showErrorMessage="1" sqref="J8 N8">
      <formula1>BorrowPeriod</formula1>
    </dataValidation>
    <dataValidation type="list" allowBlank="1" showInputMessage="1" showErrorMessage="1" sqref="G8">
      <formula1>ItemType</formula1>
    </dataValidation>
  </dataValidations>
  <pageMargins left="0.7" right="0.7" top="0.75" bottom="0.75" header="0.3" footer="0.3"/>
  <pageSetup orientation="portrait" r:id="rId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7" tint="-0.249977111117893"/>
  </sheetPr>
  <dimension ref="A1:N102"/>
  <sheetViews>
    <sheetView tabSelected="1" zoomScale="70" zoomScaleNormal="90" zoomScalePageLayoutView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8" sqref="H18"/>
    </sheetView>
  </sheetViews>
  <sheetFormatPr defaultColWidth="9" defaultRowHeight="15.75"/>
  <cols>
    <col min="1" max="1" width="6.125" style="3" customWidth="1"/>
    <col min="2" max="2" width="10.125" customWidth="1"/>
    <col min="3" max="4" width="14.375" customWidth="1"/>
    <col min="5" max="5" width="16.125" customWidth="1"/>
    <col min="6" max="6" width="14" customWidth="1"/>
    <col min="7" max="7" width="11"/>
    <col min="8" max="8" width="24" customWidth="1"/>
    <col min="9" max="9" width="17" customWidth="1"/>
    <col min="10" max="10" width="8.875" customWidth="1"/>
    <col min="11" max="11" width="8.875" style="1" bestFit="1" customWidth="1"/>
    <col min="12" max="12" width="11"/>
    <col min="13" max="13" width="21.375" customWidth="1"/>
    <col min="14" max="14" width="22.875" customWidth="1"/>
  </cols>
  <sheetData>
    <row r="1" spans="1:14" s="6" customFormat="1" ht="31.5">
      <c r="A1" s="5" t="s">
        <v>115</v>
      </c>
      <c r="B1" s="5" t="s">
        <v>0</v>
      </c>
      <c r="C1" s="5" t="s">
        <v>116</v>
      </c>
      <c r="D1" s="5" t="s">
        <v>117</v>
      </c>
      <c r="E1" s="5" t="s">
        <v>118</v>
      </c>
      <c r="F1" s="5" t="s">
        <v>134</v>
      </c>
      <c r="G1" s="5" t="s">
        <v>1</v>
      </c>
      <c r="H1" s="5" t="s">
        <v>119</v>
      </c>
      <c r="I1" s="5" t="s">
        <v>120</v>
      </c>
      <c r="J1" s="5" t="s">
        <v>2</v>
      </c>
      <c r="K1" s="24" t="s">
        <v>121</v>
      </c>
      <c r="L1" s="5" t="s">
        <v>122</v>
      </c>
      <c r="M1" s="5" t="s">
        <v>131</v>
      </c>
      <c r="N1" s="5" t="s">
        <v>372</v>
      </c>
    </row>
    <row r="2" spans="1:14">
      <c r="A2" s="3" t="s">
        <v>15</v>
      </c>
      <c r="B2" s="47"/>
      <c r="C2" s="47"/>
      <c r="D2" s="47"/>
      <c r="E2" s="47"/>
      <c r="F2" s="47"/>
      <c r="G2" s="47"/>
      <c r="H2" s="47"/>
      <c r="I2" s="47"/>
      <c r="J2" s="47"/>
      <c r="K2" s="48"/>
      <c r="L2" s="47"/>
      <c r="M2" s="48"/>
      <c r="N2" s="47"/>
    </row>
    <row r="3" spans="1:14">
      <c r="A3" s="3" t="s">
        <v>16</v>
      </c>
      <c r="B3" s="47"/>
      <c r="C3" s="47"/>
      <c r="D3" s="47"/>
      <c r="E3" s="47"/>
      <c r="F3" s="47"/>
      <c r="G3" s="47"/>
      <c r="H3" s="47"/>
      <c r="I3" s="47"/>
      <c r="J3" s="47"/>
      <c r="K3" s="48"/>
      <c r="L3" s="47"/>
      <c r="M3" s="48"/>
      <c r="N3" s="47"/>
    </row>
    <row r="4" spans="1:14">
      <c r="A4" s="3" t="s">
        <v>17</v>
      </c>
      <c r="B4" s="47"/>
      <c r="C4" s="47"/>
      <c r="D4" s="47"/>
      <c r="E4" s="47"/>
      <c r="F4" s="47"/>
      <c r="G4" s="47"/>
      <c r="H4" s="47"/>
      <c r="I4" s="47"/>
      <c r="J4" s="47"/>
      <c r="K4" s="48"/>
      <c r="L4" s="47"/>
      <c r="M4" s="48"/>
      <c r="N4" s="47"/>
    </row>
    <row r="5" spans="1:14">
      <c r="A5" s="3" t="s">
        <v>18</v>
      </c>
      <c r="B5" s="47"/>
      <c r="C5" s="47"/>
      <c r="D5" s="47"/>
      <c r="E5" s="47"/>
      <c r="F5" s="47"/>
      <c r="G5" s="47"/>
      <c r="H5" s="47"/>
      <c r="I5" s="47"/>
      <c r="J5" s="47"/>
      <c r="K5" s="48"/>
      <c r="L5" s="47"/>
      <c r="M5" s="48"/>
      <c r="N5" s="47"/>
    </row>
    <row r="6" spans="1:14">
      <c r="A6" s="3" t="s">
        <v>19</v>
      </c>
      <c r="B6" s="47"/>
      <c r="C6" s="47"/>
      <c r="D6" s="47"/>
      <c r="E6" s="47"/>
      <c r="F6" s="47"/>
      <c r="G6" s="47"/>
      <c r="H6" s="47"/>
      <c r="I6" s="47"/>
      <c r="J6" s="47"/>
      <c r="K6" s="48"/>
      <c r="L6" s="47"/>
      <c r="M6" s="48"/>
      <c r="N6" s="47"/>
    </row>
    <row r="7" spans="1:14">
      <c r="A7" s="3" t="s">
        <v>20</v>
      </c>
      <c r="B7" s="47"/>
      <c r="C7" s="47"/>
      <c r="D7" s="47"/>
      <c r="E7" s="47"/>
      <c r="F7" s="47"/>
      <c r="G7" s="47"/>
      <c r="H7" s="47"/>
      <c r="I7" s="47"/>
      <c r="J7" s="47"/>
      <c r="K7" s="48"/>
      <c r="L7" s="47"/>
      <c r="M7" s="48"/>
      <c r="N7" s="47"/>
    </row>
    <row r="8" spans="1:14">
      <c r="A8" s="3" t="s">
        <v>21</v>
      </c>
      <c r="B8" s="47"/>
      <c r="C8" s="47"/>
      <c r="D8" s="47"/>
      <c r="E8" s="47"/>
      <c r="F8" s="47"/>
      <c r="G8" s="47"/>
      <c r="H8" s="47"/>
      <c r="I8" s="47"/>
      <c r="J8" s="47"/>
      <c r="K8" s="48"/>
      <c r="L8" s="47"/>
      <c r="M8" s="48"/>
      <c r="N8" s="47"/>
    </row>
    <row r="9" spans="1:14">
      <c r="A9" s="3" t="s">
        <v>22</v>
      </c>
      <c r="B9" s="47"/>
      <c r="C9" s="47"/>
      <c r="D9" s="47"/>
      <c r="E9" s="47"/>
      <c r="F9" s="47"/>
      <c r="G9" s="47"/>
      <c r="H9" s="47"/>
      <c r="I9" s="47"/>
      <c r="J9" s="47"/>
      <c r="K9" s="48"/>
      <c r="L9" s="47"/>
      <c r="M9" s="48"/>
      <c r="N9" s="47"/>
    </row>
    <row r="10" spans="1:14">
      <c r="A10" s="3" t="s">
        <v>23</v>
      </c>
      <c r="B10" s="47"/>
      <c r="C10" s="47"/>
      <c r="D10" s="47"/>
      <c r="E10" s="47"/>
      <c r="F10" s="47"/>
      <c r="G10" s="47"/>
      <c r="H10" s="47"/>
      <c r="I10" s="47"/>
      <c r="J10" s="47"/>
      <c r="K10" s="48"/>
      <c r="L10" s="47"/>
      <c r="M10" s="48"/>
      <c r="N10" s="47"/>
    </row>
    <row r="11" spans="1:14">
      <c r="A11" s="3" t="s">
        <v>24</v>
      </c>
      <c r="B11" s="47"/>
      <c r="C11" s="47"/>
      <c r="D11" s="47"/>
      <c r="E11" s="47"/>
      <c r="F11" s="47"/>
      <c r="G11" s="47"/>
      <c r="H11" s="47"/>
      <c r="I11" s="47"/>
      <c r="J11" s="47"/>
      <c r="K11" s="48"/>
      <c r="L11" s="47"/>
      <c r="M11" s="48"/>
      <c r="N11" s="47"/>
    </row>
    <row r="12" spans="1:14">
      <c r="A12" s="3" t="s">
        <v>25</v>
      </c>
      <c r="B12" s="47"/>
      <c r="C12" s="47"/>
      <c r="D12" s="47"/>
      <c r="E12" s="47"/>
      <c r="F12" s="47"/>
      <c r="G12" s="47"/>
      <c r="H12" s="47"/>
      <c r="I12" s="47"/>
      <c r="J12" s="47"/>
      <c r="K12" s="48"/>
      <c r="L12" s="47"/>
      <c r="M12" s="48"/>
      <c r="N12" s="47"/>
    </row>
    <row r="13" spans="1:14">
      <c r="A13" s="3" t="s">
        <v>26</v>
      </c>
      <c r="B13" s="47"/>
      <c r="C13" s="47"/>
      <c r="D13" s="47"/>
      <c r="E13" s="47"/>
      <c r="F13" s="47"/>
      <c r="G13" s="47"/>
      <c r="H13" s="47"/>
      <c r="I13" s="47"/>
      <c r="J13" s="47"/>
      <c r="K13" s="48"/>
      <c r="L13" s="47"/>
      <c r="M13" s="48"/>
      <c r="N13" s="47"/>
    </row>
    <row r="14" spans="1:14">
      <c r="A14" s="3" t="s">
        <v>27</v>
      </c>
      <c r="B14" s="47"/>
      <c r="C14" s="47"/>
      <c r="D14" s="47"/>
      <c r="E14" s="47"/>
      <c r="F14" s="47"/>
      <c r="G14" s="47"/>
      <c r="H14" s="47"/>
      <c r="I14" s="47"/>
      <c r="J14" s="47"/>
      <c r="K14" s="48"/>
      <c r="L14" s="47"/>
      <c r="M14" s="48"/>
      <c r="N14" s="47"/>
    </row>
    <row r="15" spans="1:14">
      <c r="A15" s="3" t="s">
        <v>28</v>
      </c>
      <c r="B15" s="47"/>
      <c r="C15" s="47"/>
      <c r="D15" s="47"/>
      <c r="E15" s="47"/>
      <c r="F15" s="47"/>
      <c r="G15" s="47"/>
      <c r="H15" s="47"/>
      <c r="I15" s="47"/>
      <c r="J15" s="47"/>
      <c r="K15" s="48"/>
      <c r="L15" s="47"/>
      <c r="M15" s="48"/>
      <c r="N15" s="47"/>
    </row>
    <row r="16" spans="1:14">
      <c r="A16" s="3" t="s">
        <v>29</v>
      </c>
      <c r="B16" s="47"/>
      <c r="C16" s="47"/>
      <c r="D16" s="47"/>
      <c r="E16" s="47"/>
      <c r="F16" s="47"/>
      <c r="G16" s="47"/>
      <c r="H16" s="47"/>
      <c r="I16" s="47"/>
      <c r="J16" s="47"/>
      <c r="K16" s="48"/>
      <c r="L16" s="47"/>
      <c r="M16" s="48"/>
      <c r="N16" s="47"/>
    </row>
    <row r="17" spans="1:14">
      <c r="A17" s="3" t="s">
        <v>30</v>
      </c>
      <c r="B17" s="47"/>
      <c r="C17" s="47"/>
      <c r="D17" s="47"/>
      <c r="E17" s="47"/>
      <c r="F17" s="47"/>
      <c r="G17" s="47"/>
      <c r="H17" s="47"/>
      <c r="I17" s="47"/>
      <c r="J17" s="47"/>
      <c r="K17" s="48"/>
      <c r="L17" s="47"/>
      <c r="M17" s="48"/>
      <c r="N17" s="47"/>
    </row>
    <row r="18" spans="1:14">
      <c r="A18" s="3" t="s">
        <v>31</v>
      </c>
      <c r="B18" s="47"/>
      <c r="C18" s="47"/>
      <c r="D18" s="47"/>
      <c r="E18" s="47"/>
      <c r="F18" s="47"/>
      <c r="G18" s="47"/>
      <c r="H18" s="47"/>
      <c r="I18" s="47"/>
      <c r="J18" s="47"/>
      <c r="K18" s="48"/>
      <c r="L18" s="47"/>
      <c r="M18" s="48"/>
      <c r="N18" s="47"/>
    </row>
    <row r="19" spans="1:14">
      <c r="A19" s="3" t="s">
        <v>32</v>
      </c>
      <c r="B19" s="47"/>
      <c r="C19" s="47"/>
      <c r="D19" s="47"/>
      <c r="E19" s="47"/>
      <c r="F19" s="47"/>
      <c r="G19" s="47"/>
      <c r="H19" s="47"/>
      <c r="I19" s="47"/>
      <c r="J19" s="47"/>
      <c r="K19" s="48"/>
      <c r="L19" s="47"/>
      <c r="M19" s="48"/>
      <c r="N19" s="47"/>
    </row>
    <row r="20" spans="1:14">
      <c r="A20" s="3" t="s">
        <v>33</v>
      </c>
      <c r="B20" s="47"/>
      <c r="C20" s="47"/>
      <c r="D20" s="47"/>
      <c r="E20" s="47"/>
      <c r="F20" s="47"/>
      <c r="G20" s="47"/>
      <c r="H20" s="47"/>
      <c r="I20" s="47"/>
      <c r="J20" s="47"/>
      <c r="K20" s="48"/>
      <c r="L20" s="47"/>
      <c r="M20" s="48"/>
      <c r="N20" s="47"/>
    </row>
    <row r="21" spans="1:14">
      <c r="A21" s="3" t="s">
        <v>34</v>
      </c>
      <c r="B21" s="47"/>
      <c r="C21" s="47"/>
      <c r="D21" s="47"/>
      <c r="E21" s="47"/>
      <c r="F21" s="47"/>
      <c r="G21" s="47"/>
      <c r="H21" s="47"/>
      <c r="I21" s="47"/>
      <c r="J21" s="47"/>
      <c r="K21" s="48"/>
      <c r="L21" s="47"/>
      <c r="M21" s="48"/>
      <c r="N21" s="47"/>
    </row>
    <row r="22" spans="1:14">
      <c r="A22" s="3" t="s">
        <v>35</v>
      </c>
      <c r="B22" s="47"/>
      <c r="C22" s="47"/>
      <c r="D22" s="47"/>
      <c r="E22" s="47"/>
      <c r="F22" s="47"/>
      <c r="G22" s="47"/>
      <c r="H22" s="47"/>
      <c r="I22" s="47"/>
      <c r="J22" s="47"/>
      <c r="K22" s="48"/>
      <c r="L22" s="47"/>
      <c r="M22" s="48"/>
      <c r="N22" s="47"/>
    </row>
    <row r="23" spans="1:14">
      <c r="A23" s="3" t="s">
        <v>36</v>
      </c>
      <c r="B23" s="47"/>
      <c r="C23" s="47"/>
      <c r="D23" s="47"/>
      <c r="E23" s="47"/>
      <c r="F23" s="47"/>
      <c r="G23" s="47"/>
      <c r="H23" s="47"/>
      <c r="I23" s="47"/>
      <c r="J23" s="47"/>
      <c r="K23" s="48"/>
      <c r="L23" s="47"/>
      <c r="M23" s="48"/>
      <c r="N23" s="47"/>
    </row>
    <row r="24" spans="1:14">
      <c r="A24" s="3" t="s">
        <v>37</v>
      </c>
      <c r="B24" s="47"/>
      <c r="C24" s="47"/>
      <c r="D24" s="47"/>
      <c r="E24" s="47"/>
      <c r="F24" s="47"/>
      <c r="G24" s="47"/>
      <c r="H24" s="47"/>
      <c r="I24" s="47"/>
      <c r="J24" s="47"/>
      <c r="K24" s="48"/>
      <c r="L24" s="47"/>
      <c r="M24" s="48"/>
      <c r="N24" s="47"/>
    </row>
    <row r="25" spans="1:14">
      <c r="A25" s="3" t="s">
        <v>38</v>
      </c>
      <c r="B25" s="47"/>
      <c r="C25" s="47"/>
      <c r="D25" s="47"/>
      <c r="E25" s="47"/>
      <c r="F25" s="47"/>
      <c r="G25" s="47"/>
      <c r="H25" s="47"/>
      <c r="I25" s="47"/>
      <c r="J25" s="47"/>
      <c r="K25" s="48"/>
      <c r="L25" s="47"/>
      <c r="M25" s="48"/>
      <c r="N25" s="47"/>
    </row>
    <row r="26" spans="1:14">
      <c r="A26" s="3" t="s">
        <v>39</v>
      </c>
      <c r="B26" s="47"/>
      <c r="C26" s="47"/>
      <c r="D26" s="47"/>
      <c r="E26" s="47"/>
      <c r="F26" s="47"/>
      <c r="G26" s="47"/>
      <c r="H26" s="47"/>
      <c r="I26" s="47"/>
      <c r="J26" s="47"/>
      <c r="K26" s="48"/>
      <c r="L26" s="47"/>
      <c r="M26" s="48"/>
      <c r="N26" s="47"/>
    </row>
    <row r="27" spans="1:14">
      <c r="A27" s="3" t="s">
        <v>40</v>
      </c>
      <c r="B27" s="47"/>
      <c r="C27" s="47"/>
      <c r="D27" s="47"/>
      <c r="E27" s="47"/>
      <c r="F27" s="47"/>
      <c r="G27" s="47"/>
      <c r="H27" s="47"/>
      <c r="I27" s="47"/>
      <c r="J27" s="47"/>
      <c r="K27" s="48"/>
      <c r="L27" s="47"/>
      <c r="M27" s="48"/>
      <c r="N27" s="47"/>
    </row>
    <row r="28" spans="1:14">
      <c r="A28" s="3" t="s">
        <v>41</v>
      </c>
      <c r="B28" s="47"/>
      <c r="C28" s="47"/>
      <c r="D28" s="47"/>
      <c r="E28" s="47"/>
      <c r="F28" s="47"/>
      <c r="G28" s="47"/>
      <c r="H28" s="47"/>
      <c r="I28" s="47"/>
      <c r="J28" s="47"/>
      <c r="K28" s="48"/>
      <c r="L28" s="47"/>
      <c r="M28" s="48"/>
      <c r="N28" s="47"/>
    </row>
    <row r="29" spans="1:14">
      <c r="A29" s="3" t="s">
        <v>42</v>
      </c>
      <c r="B29" s="47"/>
      <c r="C29" s="47"/>
      <c r="D29" s="47"/>
      <c r="E29" s="47"/>
      <c r="F29" s="47"/>
      <c r="G29" s="47"/>
      <c r="H29" s="47"/>
      <c r="I29" s="47"/>
      <c r="J29" s="47"/>
      <c r="K29" s="48"/>
      <c r="L29" s="47"/>
      <c r="M29" s="48"/>
      <c r="N29" s="47"/>
    </row>
    <row r="30" spans="1:14">
      <c r="A30" s="3" t="s">
        <v>43</v>
      </c>
      <c r="B30" s="47"/>
      <c r="C30" s="47"/>
      <c r="D30" s="47"/>
      <c r="E30" s="47"/>
      <c r="F30" s="47"/>
      <c r="G30" s="47"/>
      <c r="H30" s="47"/>
      <c r="I30" s="47"/>
      <c r="J30" s="47"/>
      <c r="K30" s="48"/>
      <c r="L30" s="47"/>
      <c r="M30" s="48"/>
      <c r="N30" s="47"/>
    </row>
    <row r="31" spans="1:14">
      <c r="A31" s="3" t="s">
        <v>44</v>
      </c>
      <c r="B31" s="47"/>
      <c r="C31" s="47"/>
      <c r="D31" s="47"/>
      <c r="E31" s="47"/>
      <c r="F31" s="47"/>
      <c r="G31" s="47"/>
      <c r="H31" s="47"/>
      <c r="I31" s="47"/>
      <c r="J31" s="47"/>
      <c r="K31" s="48"/>
      <c r="L31" s="47"/>
      <c r="M31" s="48"/>
      <c r="N31" s="47"/>
    </row>
    <row r="32" spans="1:14">
      <c r="A32" s="3" t="s">
        <v>45</v>
      </c>
      <c r="B32" s="47"/>
      <c r="C32" s="47"/>
      <c r="D32" s="47"/>
      <c r="E32" s="47"/>
      <c r="F32" s="47"/>
      <c r="G32" s="47"/>
      <c r="H32" s="47"/>
      <c r="I32" s="47"/>
      <c r="J32" s="47"/>
      <c r="K32" s="48"/>
      <c r="L32" s="47"/>
      <c r="M32" s="48"/>
      <c r="N32" s="47"/>
    </row>
    <row r="33" spans="1:14">
      <c r="A33" s="3" t="s">
        <v>46</v>
      </c>
      <c r="B33" s="47"/>
      <c r="C33" s="47"/>
      <c r="D33" s="47"/>
      <c r="E33" s="47"/>
      <c r="F33" s="47"/>
      <c r="G33" s="47"/>
      <c r="H33" s="47"/>
      <c r="I33" s="47"/>
      <c r="J33" s="47"/>
      <c r="K33" s="48"/>
      <c r="L33" s="47"/>
      <c r="M33" s="48"/>
      <c r="N33" s="47"/>
    </row>
    <row r="34" spans="1:14">
      <c r="A34" s="3" t="s">
        <v>47</v>
      </c>
      <c r="B34" s="47"/>
      <c r="C34" s="47"/>
      <c r="D34" s="47"/>
      <c r="E34" s="47"/>
      <c r="F34" s="47"/>
      <c r="G34" s="47"/>
      <c r="H34" s="47"/>
      <c r="I34" s="47"/>
      <c r="J34" s="47"/>
      <c r="K34" s="48"/>
      <c r="L34" s="47"/>
      <c r="M34" s="48"/>
      <c r="N34" s="47"/>
    </row>
    <row r="35" spans="1:14">
      <c r="A35" s="3" t="s">
        <v>48</v>
      </c>
      <c r="B35" s="47"/>
      <c r="C35" s="47"/>
      <c r="D35" s="47"/>
      <c r="E35" s="47"/>
      <c r="F35" s="47"/>
      <c r="G35" s="47"/>
      <c r="H35" s="47"/>
      <c r="I35" s="47"/>
      <c r="J35" s="47"/>
      <c r="K35" s="48"/>
      <c r="L35" s="47"/>
      <c r="M35" s="48"/>
      <c r="N35" s="47"/>
    </row>
    <row r="36" spans="1:14">
      <c r="A36" s="3" t="s">
        <v>49</v>
      </c>
      <c r="B36" s="47"/>
      <c r="C36" s="47"/>
      <c r="D36" s="47"/>
      <c r="E36" s="47"/>
      <c r="F36" s="47"/>
      <c r="G36" s="47"/>
      <c r="H36" s="47"/>
      <c r="I36" s="47"/>
      <c r="J36" s="47"/>
      <c r="K36" s="48"/>
      <c r="L36" s="47"/>
      <c r="M36" s="48"/>
      <c r="N36" s="47"/>
    </row>
    <row r="37" spans="1:14">
      <c r="A37" s="3" t="s">
        <v>50</v>
      </c>
      <c r="B37" s="47"/>
      <c r="C37" s="47"/>
      <c r="D37" s="47"/>
      <c r="E37" s="47"/>
      <c r="F37" s="47"/>
      <c r="G37" s="47"/>
      <c r="H37" s="47"/>
      <c r="I37" s="47"/>
      <c r="J37" s="47"/>
      <c r="K37" s="48"/>
      <c r="L37" s="47"/>
      <c r="M37" s="48"/>
      <c r="N37" s="47"/>
    </row>
    <row r="38" spans="1:14">
      <c r="A38" s="3" t="s">
        <v>51</v>
      </c>
      <c r="B38" s="47"/>
      <c r="C38" s="47"/>
      <c r="D38" s="47"/>
      <c r="E38" s="47"/>
      <c r="F38" s="47"/>
      <c r="G38" s="47"/>
      <c r="H38" s="47"/>
      <c r="I38" s="47"/>
      <c r="J38" s="47"/>
      <c r="K38" s="48"/>
      <c r="L38" s="47"/>
      <c r="M38" s="48"/>
      <c r="N38" s="47"/>
    </row>
    <row r="39" spans="1:14">
      <c r="A39" s="3" t="s">
        <v>52</v>
      </c>
      <c r="B39" s="47"/>
      <c r="C39" s="47"/>
      <c r="D39" s="47"/>
      <c r="E39" s="47"/>
      <c r="F39" s="47"/>
      <c r="G39" s="47"/>
      <c r="H39" s="47"/>
      <c r="I39" s="47"/>
      <c r="J39" s="47"/>
      <c r="K39" s="48"/>
      <c r="L39" s="47"/>
      <c r="M39" s="48"/>
      <c r="N39" s="47"/>
    </row>
    <row r="40" spans="1:14">
      <c r="A40" s="3" t="s">
        <v>53</v>
      </c>
      <c r="B40" s="47"/>
      <c r="C40" s="47"/>
      <c r="D40" s="47"/>
      <c r="E40" s="47"/>
      <c r="F40" s="47"/>
      <c r="G40" s="47"/>
      <c r="H40" s="47"/>
      <c r="I40" s="47"/>
      <c r="J40" s="47"/>
      <c r="K40" s="48"/>
      <c r="L40" s="47"/>
      <c r="M40" s="48"/>
      <c r="N40" s="47"/>
    </row>
    <row r="41" spans="1:14">
      <c r="A41" s="3" t="s">
        <v>54</v>
      </c>
      <c r="B41" s="47"/>
      <c r="C41" s="47"/>
      <c r="D41" s="47"/>
      <c r="E41" s="47"/>
      <c r="F41" s="47"/>
      <c r="G41" s="47"/>
      <c r="H41" s="47"/>
      <c r="I41" s="47"/>
      <c r="J41" s="47"/>
      <c r="K41" s="48"/>
      <c r="L41" s="47"/>
      <c r="M41" s="48"/>
      <c r="N41" s="47"/>
    </row>
    <row r="42" spans="1:14">
      <c r="A42" s="3" t="s">
        <v>55</v>
      </c>
      <c r="B42" s="47"/>
      <c r="C42" s="47"/>
      <c r="D42" s="47"/>
      <c r="E42" s="47"/>
      <c r="F42" s="47"/>
      <c r="G42" s="47"/>
      <c r="H42" s="47"/>
      <c r="I42" s="47"/>
      <c r="J42" s="47"/>
      <c r="K42" s="48"/>
      <c r="L42" s="47"/>
      <c r="M42" s="48"/>
      <c r="N42" s="47"/>
    </row>
    <row r="43" spans="1:14">
      <c r="A43" s="3" t="s">
        <v>56</v>
      </c>
      <c r="B43" s="47"/>
      <c r="C43" s="47"/>
      <c r="D43" s="47"/>
      <c r="E43" s="47"/>
      <c r="F43" s="47"/>
      <c r="G43" s="47"/>
      <c r="H43" s="47"/>
      <c r="I43" s="47"/>
      <c r="J43" s="47"/>
      <c r="K43" s="48"/>
      <c r="L43" s="47"/>
      <c r="M43" s="48"/>
      <c r="N43" s="47"/>
    </row>
    <row r="44" spans="1:14">
      <c r="A44" s="3" t="s">
        <v>57</v>
      </c>
      <c r="B44" s="47"/>
      <c r="C44" s="47"/>
      <c r="D44" s="47"/>
      <c r="E44" s="47"/>
      <c r="F44" s="47"/>
      <c r="G44" s="47"/>
      <c r="H44" s="47"/>
      <c r="I44" s="47"/>
      <c r="J44" s="47"/>
      <c r="K44" s="48"/>
      <c r="L44" s="47"/>
      <c r="M44" s="48"/>
      <c r="N44" s="47"/>
    </row>
    <row r="45" spans="1:14">
      <c r="A45" s="3" t="s">
        <v>58</v>
      </c>
      <c r="B45" s="47"/>
      <c r="C45" s="47"/>
      <c r="D45" s="47"/>
      <c r="E45" s="47"/>
      <c r="F45" s="47"/>
      <c r="G45" s="47"/>
      <c r="H45" s="47"/>
      <c r="I45" s="47"/>
      <c r="J45" s="47"/>
      <c r="K45" s="48"/>
      <c r="L45" s="47"/>
      <c r="M45" s="48"/>
      <c r="N45" s="47"/>
    </row>
    <row r="46" spans="1:14">
      <c r="A46" s="3" t="s">
        <v>59</v>
      </c>
      <c r="B46" s="47"/>
      <c r="C46" s="47"/>
      <c r="D46" s="47"/>
      <c r="E46" s="47"/>
      <c r="F46" s="47"/>
      <c r="G46" s="47"/>
      <c r="H46" s="47"/>
      <c r="I46" s="47"/>
      <c r="J46" s="47"/>
      <c r="K46" s="48"/>
      <c r="L46" s="47"/>
      <c r="M46" s="48"/>
      <c r="N46" s="47"/>
    </row>
    <row r="47" spans="1:14">
      <c r="A47" s="3" t="s">
        <v>60</v>
      </c>
      <c r="B47" s="47"/>
      <c r="C47" s="47"/>
      <c r="D47" s="47"/>
      <c r="E47" s="47"/>
      <c r="F47" s="47"/>
      <c r="G47" s="47"/>
      <c r="H47" s="47"/>
      <c r="I47" s="47"/>
      <c r="J47" s="47"/>
      <c r="K47" s="48"/>
      <c r="L47" s="47"/>
      <c r="M47" s="48"/>
      <c r="N47" s="47"/>
    </row>
    <row r="48" spans="1:14">
      <c r="A48" s="3" t="s">
        <v>61</v>
      </c>
      <c r="B48" s="47"/>
      <c r="C48" s="47"/>
      <c r="D48" s="47"/>
      <c r="E48" s="47"/>
      <c r="F48" s="47"/>
      <c r="G48" s="47"/>
      <c r="H48" s="47"/>
      <c r="I48" s="47"/>
      <c r="J48" s="47"/>
      <c r="K48" s="48"/>
      <c r="L48" s="47"/>
      <c r="M48" s="48"/>
      <c r="N48" s="47"/>
    </row>
    <row r="49" spans="1:14">
      <c r="A49" s="3" t="s">
        <v>62</v>
      </c>
      <c r="B49" s="47"/>
      <c r="C49" s="47"/>
      <c r="D49" s="47"/>
      <c r="E49" s="47"/>
      <c r="F49" s="47"/>
      <c r="G49" s="47"/>
      <c r="H49" s="47"/>
      <c r="I49" s="47"/>
      <c r="J49" s="47"/>
      <c r="K49" s="48"/>
      <c r="L49" s="47"/>
      <c r="M49" s="48"/>
      <c r="N49" s="47"/>
    </row>
    <row r="50" spans="1:14">
      <c r="A50" s="3" t="s">
        <v>63</v>
      </c>
      <c r="B50" s="47"/>
      <c r="C50" s="47"/>
      <c r="D50" s="47"/>
      <c r="E50" s="47"/>
      <c r="F50" s="47"/>
      <c r="G50" s="47"/>
      <c r="H50" s="47"/>
      <c r="I50" s="47"/>
      <c r="J50" s="47"/>
      <c r="K50" s="48"/>
      <c r="L50" s="47"/>
      <c r="M50" s="48"/>
      <c r="N50" s="47"/>
    </row>
    <row r="51" spans="1:14">
      <c r="A51" s="3" t="s">
        <v>64</v>
      </c>
      <c r="B51" s="47"/>
      <c r="C51" s="47"/>
      <c r="D51" s="47"/>
      <c r="E51" s="47"/>
      <c r="F51" s="47"/>
      <c r="G51" s="47"/>
      <c r="H51" s="47"/>
      <c r="I51" s="47"/>
      <c r="J51" s="47"/>
      <c r="K51" s="48"/>
      <c r="L51" s="47"/>
      <c r="M51" s="48"/>
      <c r="N51" s="47"/>
    </row>
    <row r="52" spans="1:14">
      <c r="A52" s="3" t="s">
        <v>65</v>
      </c>
      <c r="B52" s="47"/>
      <c r="C52" s="47"/>
      <c r="D52" s="47"/>
      <c r="E52" s="47"/>
      <c r="F52" s="47"/>
      <c r="G52" s="47"/>
      <c r="H52" s="47"/>
      <c r="I52" s="47"/>
      <c r="J52" s="47"/>
      <c r="K52" s="48"/>
      <c r="L52" s="47"/>
      <c r="M52" s="48"/>
      <c r="N52" s="47"/>
    </row>
    <row r="53" spans="1:14">
      <c r="A53" s="3" t="s">
        <v>66</v>
      </c>
      <c r="B53" s="47"/>
      <c r="C53" s="47"/>
      <c r="D53" s="47"/>
      <c r="E53" s="47"/>
      <c r="F53" s="47"/>
      <c r="G53" s="47"/>
      <c r="H53" s="47"/>
      <c r="I53" s="47"/>
      <c r="J53" s="47"/>
      <c r="K53" s="48"/>
      <c r="L53" s="47"/>
      <c r="M53" s="48"/>
      <c r="N53" s="47"/>
    </row>
    <row r="54" spans="1:14">
      <c r="A54" s="3" t="s">
        <v>67</v>
      </c>
      <c r="B54" s="47"/>
      <c r="C54" s="47"/>
      <c r="D54" s="47"/>
      <c r="E54" s="47"/>
      <c r="F54" s="47"/>
      <c r="G54" s="47"/>
      <c r="H54" s="47"/>
      <c r="I54" s="47"/>
      <c r="J54" s="47"/>
      <c r="K54" s="48"/>
      <c r="L54" s="47"/>
      <c r="M54" s="48"/>
      <c r="N54" s="47"/>
    </row>
    <row r="55" spans="1:14">
      <c r="A55" s="3" t="s">
        <v>68</v>
      </c>
      <c r="B55" s="47"/>
      <c r="C55" s="47"/>
      <c r="D55" s="47"/>
      <c r="E55" s="47"/>
      <c r="F55" s="47"/>
      <c r="G55" s="47"/>
      <c r="H55" s="47"/>
      <c r="I55" s="47"/>
      <c r="J55" s="47"/>
      <c r="K55" s="48"/>
      <c r="L55" s="47"/>
      <c r="M55" s="48"/>
      <c r="N55" s="47"/>
    </row>
    <row r="56" spans="1:14">
      <c r="A56" s="3" t="s">
        <v>69</v>
      </c>
      <c r="B56" s="47"/>
      <c r="C56" s="47"/>
      <c r="D56" s="47"/>
      <c r="E56" s="47"/>
      <c r="F56" s="47"/>
      <c r="G56" s="47"/>
      <c r="H56" s="47"/>
      <c r="I56" s="47"/>
      <c r="J56" s="47"/>
      <c r="K56" s="48"/>
      <c r="L56" s="47"/>
      <c r="M56" s="48"/>
      <c r="N56" s="47"/>
    </row>
    <row r="57" spans="1:14">
      <c r="A57" s="3" t="s">
        <v>70</v>
      </c>
      <c r="B57" s="47"/>
      <c r="C57" s="47"/>
      <c r="D57" s="47"/>
      <c r="E57" s="47"/>
      <c r="F57" s="47"/>
      <c r="G57" s="47"/>
      <c r="H57" s="47"/>
      <c r="I57" s="47"/>
      <c r="J57" s="47"/>
      <c r="K57" s="48"/>
      <c r="L57" s="47"/>
      <c r="M57" s="48"/>
      <c r="N57" s="47"/>
    </row>
    <row r="58" spans="1:14">
      <c r="A58" s="3" t="s">
        <v>71</v>
      </c>
      <c r="B58" s="47"/>
      <c r="C58" s="47"/>
      <c r="D58" s="47"/>
      <c r="E58" s="47"/>
      <c r="F58" s="47"/>
      <c r="G58" s="47"/>
      <c r="H58" s="47"/>
      <c r="I58" s="47"/>
      <c r="J58" s="47"/>
      <c r="K58" s="48"/>
      <c r="L58" s="47"/>
      <c r="M58" s="48"/>
      <c r="N58" s="47"/>
    </row>
    <row r="59" spans="1:14">
      <c r="A59" s="3" t="s">
        <v>72</v>
      </c>
      <c r="B59" s="47"/>
      <c r="C59" s="47"/>
      <c r="D59" s="47"/>
      <c r="E59" s="47"/>
      <c r="F59" s="47"/>
      <c r="G59" s="47"/>
      <c r="H59" s="47"/>
      <c r="I59" s="47"/>
      <c r="J59" s="47"/>
      <c r="K59" s="48"/>
      <c r="L59" s="47"/>
      <c r="M59" s="48"/>
      <c r="N59" s="47"/>
    </row>
    <row r="60" spans="1:14">
      <c r="A60" s="3" t="s">
        <v>73</v>
      </c>
      <c r="B60" s="47"/>
      <c r="C60" s="47"/>
      <c r="D60" s="47"/>
      <c r="E60" s="47"/>
      <c r="F60" s="47"/>
      <c r="G60" s="47"/>
      <c r="H60" s="47"/>
      <c r="I60" s="47"/>
      <c r="J60" s="47"/>
      <c r="K60" s="48"/>
      <c r="L60" s="47"/>
      <c r="M60" s="48"/>
      <c r="N60" s="47"/>
    </row>
    <row r="61" spans="1:14">
      <c r="A61" s="3" t="s">
        <v>74</v>
      </c>
      <c r="B61" s="47"/>
      <c r="C61" s="47"/>
      <c r="D61" s="47"/>
      <c r="E61" s="47"/>
      <c r="F61" s="47"/>
      <c r="G61" s="47"/>
      <c r="H61" s="47"/>
      <c r="I61" s="47"/>
      <c r="J61" s="47"/>
      <c r="K61" s="48"/>
      <c r="L61" s="47"/>
      <c r="M61" s="48"/>
      <c r="N61" s="47"/>
    </row>
    <row r="62" spans="1:14">
      <c r="A62" s="3" t="s">
        <v>75</v>
      </c>
      <c r="B62" s="47"/>
      <c r="C62" s="47"/>
      <c r="D62" s="47"/>
      <c r="E62" s="47"/>
      <c r="F62" s="47"/>
      <c r="G62" s="47"/>
      <c r="H62" s="47"/>
      <c r="I62" s="47"/>
      <c r="J62" s="47"/>
      <c r="K62" s="48"/>
      <c r="L62" s="47"/>
      <c r="M62" s="48"/>
      <c r="N62" s="47"/>
    </row>
    <row r="63" spans="1:14">
      <c r="A63" s="3" t="s">
        <v>76</v>
      </c>
      <c r="B63" s="47"/>
      <c r="C63" s="47"/>
      <c r="D63" s="47"/>
      <c r="E63" s="47"/>
      <c r="F63" s="47"/>
      <c r="G63" s="47"/>
      <c r="H63" s="47"/>
      <c r="I63" s="47"/>
      <c r="J63" s="47"/>
      <c r="K63" s="48"/>
      <c r="L63" s="47"/>
      <c r="M63" s="48"/>
      <c r="N63" s="47"/>
    </row>
    <row r="64" spans="1:14">
      <c r="A64" s="3" t="s">
        <v>77</v>
      </c>
      <c r="B64" s="47"/>
      <c r="C64" s="47"/>
      <c r="D64" s="47"/>
      <c r="E64" s="47"/>
      <c r="F64" s="47"/>
      <c r="G64" s="47"/>
      <c r="H64" s="47"/>
      <c r="I64" s="47"/>
      <c r="J64" s="47"/>
      <c r="K64" s="48"/>
      <c r="L64" s="47"/>
      <c r="M64" s="48"/>
      <c r="N64" s="47"/>
    </row>
    <row r="65" spans="1:14">
      <c r="A65" s="3" t="s">
        <v>78</v>
      </c>
      <c r="B65" s="47"/>
      <c r="C65" s="47"/>
      <c r="D65" s="47"/>
      <c r="E65" s="47"/>
      <c r="F65" s="47"/>
      <c r="G65" s="47"/>
      <c r="H65" s="47"/>
      <c r="I65" s="47"/>
      <c r="J65" s="47"/>
      <c r="K65" s="48"/>
      <c r="L65" s="47"/>
      <c r="M65" s="48"/>
      <c r="N65" s="47"/>
    </row>
    <row r="66" spans="1:14">
      <c r="A66" s="3" t="s">
        <v>79</v>
      </c>
      <c r="B66" s="47"/>
      <c r="C66" s="47"/>
      <c r="D66" s="47"/>
      <c r="E66" s="47"/>
      <c r="F66" s="47"/>
      <c r="G66" s="47"/>
      <c r="H66" s="47"/>
      <c r="I66" s="47"/>
      <c r="J66" s="47"/>
      <c r="K66" s="48"/>
      <c r="L66" s="47"/>
      <c r="M66" s="48"/>
      <c r="N66" s="47"/>
    </row>
    <row r="67" spans="1:14">
      <c r="A67" s="3" t="s">
        <v>80</v>
      </c>
      <c r="B67" s="47"/>
      <c r="C67" s="47"/>
      <c r="D67" s="47"/>
      <c r="E67" s="47"/>
      <c r="F67" s="47"/>
      <c r="G67" s="47"/>
      <c r="H67" s="47"/>
      <c r="I67" s="47"/>
      <c r="J67" s="47"/>
      <c r="K67" s="48"/>
      <c r="L67" s="47"/>
      <c r="M67" s="48"/>
      <c r="N67" s="47"/>
    </row>
    <row r="68" spans="1:14">
      <c r="A68" s="3" t="s">
        <v>81</v>
      </c>
      <c r="B68" s="47"/>
      <c r="C68" s="47"/>
      <c r="D68" s="47"/>
      <c r="E68" s="47"/>
      <c r="F68" s="47"/>
      <c r="G68" s="47"/>
      <c r="H68" s="47"/>
      <c r="I68" s="47"/>
      <c r="J68" s="47"/>
      <c r="K68" s="48"/>
      <c r="L68" s="47"/>
      <c r="M68" s="48"/>
      <c r="N68" s="47"/>
    </row>
    <row r="69" spans="1:14">
      <c r="A69" s="3" t="s">
        <v>82</v>
      </c>
      <c r="B69" s="47"/>
      <c r="C69" s="47"/>
      <c r="D69" s="47"/>
      <c r="E69" s="47"/>
      <c r="F69" s="47"/>
      <c r="G69" s="47"/>
      <c r="H69" s="47"/>
      <c r="I69" s="47"/>
      <c r="J69" s="47"/>
      <c r="K69" s="48"/>
      <c r="L69" s="47"/>
      <c r="M69" s="48"/>
      <c r="N69" s="47"/>
    </row>
    <row r="70" spans="1:14">
      <c r="A70" s="3" t="s">
        <v>83</v>
      </c>
      <c r="B70" s="47"/>
      <c r="C70" s="47"/>
      <c r="D70" s="47"/>
      <c r="E70" s="47"/>
      <c r="F70" s="47"/>
      <c r="G70" s="47"/>
      <c r="H70" s="47"/>
      <c r="I70" s="47"/>
      <c r="J70" s="47"/>
      <c r="K70" s="48"/>
      <c r="L70" s="47"/>
      <c r="M70" s="48"/>
      <c r="N70" s="47"/>
    </row>
    <row r="71" spans="1:14">
      <c r="A71" s="3" t="s">
        <v>84</v>
      </c>
      <c r="B71" s="47"/>
      <c r="C71" s="47"/>
      <c r="D71" s="47"/>
      <c r="E71" s="47"/>
      <c r="F71" s="47"/>
      <c r="G71" s="47"/>
      <c r="H71" s="47"/>
      <c r="I71" s="47"/>
      <c r="J71" s="47"/>
      <c r="K71" s="48"/>
      <c r="L71" s="47"/>
      <c r="M71" s="48"/>
      <c r="N71" s="47"/>
    </row>
    <row r="72" spans="1:14">
      <c r="A72" s="3" t="s">
        <v>85</v>
      </c>
      <c r="B72" s="47"/>
      <c r="C72" s="47"/>
      <c r="D72" s="47"/>
      <c r="E72" s="47"/>
      <c r="F72" s="47"/>
      <c r="G72" s="47"/>
      <c r="H72" s="47"/>
      <c r="I72" s="47"/>
      <c r="J72" s="47"/>
      <c r="K72" s="48"/>
      <c r="L72" s="47"/>
      <c r="M72" s="48"/>
      <c r="N72" s="47"/>
    </row>
    <row r="73" spans="1:14">
      <c r="A73" s="3" t="s">
        <v>86</v>
      </c>
      <c r="B73" s="47"/>
      <c r="C73" s="47"/>
      <c r="D73" s="47"/>
      <c r="E73" s="47"/>
      <c r="F73" s="47"/>
      <c r="G73" s="47"/>
      <c r="H73" s="47"/>
      <c r="I73" s="47"/>
      <c r="J73" s="47"/>
      <c r="K73" s="48"/>
      <c r="L73" s="47"/>
      <c r="M73" s="48"/>
      <c r="N73" s="47"/>
    </row>
    <row r="74" spans="1:14">
      <c r="A74" s="3" t="s">
        <v>87</v>
      </c>
      <c r="B74" s="47"/>
      <c r="C74" s="47"/>
      <c r="D74" s="47"/>
      <c r="E74" s="47"/>
      <c r="F74" s="47"/>
      <c r="G74" s="47"/>
      <c r="H74" s="47"/>
      <c r="I74" s="47"/>
      <c r="J74" s="47"/>
      <c r="K74" s="48"/>
      <c r="L74" s="47"/>
      <c r="M74" s="48"/>
      <c r="N74" s="47"/>
    </row>
    <row r="75" spans="1:14">
      <c r="A75" s="3" t="s">
        <v>88</v>
      </c>
      <c r="B75" s="47"/>
      <c r="C75" s="47"/>
      <c r="D75" s="47"/>
      <c r="E75" s="47"/>
      <c r="F75" s="47"/>
      <c r="G75" s="47"/>
      <c r="H75" s="47"/>
      <c r="I75" s="47"/>
      <c r="J75" s="47"/>
      <c r="K75" s="48"/>
      <c r="L75" s="47"/>
      <c r="M75" s="48"/>
      <c r="N75" s="47"/>
    </row>
    <row r="76" spans="1:14">
      <c r="A76" s="3" t="s">
        <v>89</v>
      </c>
      <c r="B76" s="47"/>
      <c r="C76" s="47"/>
      <c r="D76" s="47"/>
      <c r="E76" s="47"/>
      <c r="F76" s="47"/>
      <c r="G76" s="47"/>
      <c r="H76" s="47"/>
      <c r="I76" s="47"/>
      <c r="J76" s="47"/>
      <c r="K76" s="48"/>
      <c r="L76" s="47"/>
      <c r="M76" s="48"/>
      <c r="N76" s="47"/>
    </row>
    <row r="77" spans="1:14">
      <c r="A77" s="3" t="s">
        <v>90</v>
      </c>
      <c r="B77" s="47"/>
      <c r="C77" s="47"/>
      <c r="D77" s="47"/>
      <c r="E77" s="47"/>
      <c r="F77" s="47"/>
      <c r="G77" s="47"/>
      <c r="H77" s="47"/>
      <c r="I77" s="47"/>
      <c r="J77" s="47"/>
      <c r="K77" s="48"/>
      <c r="L77" s="47"/>
      <c r="M77" s="48"/>
      <c r="N77" s="47"/>
    </row>
    <row r="78" spans="1:14">
      <c r="A78" s="3" t="s">
        <v>91</v>
      </c>
      <c r="B78" s="47"/>
      <c r="C78" s="47"/>
      <c r="D78" s="47"/>
      <c r="E78" s="47"/>
      <c r="F78" s="47"/>
      <c r="G78" s="47"/>
      <c r="H78" s="47"/>
      <c r="I78" s="47"/>
      <c r="J78" s="47"/>
      <c r="K78" s="48"/>
      <c r="L78" s="47"/>
      <c r="M78" s="48"/>
      <c r="N78" s="47"/>
    </row>
    <row r="79" spans="1:14">
      <c r="A79" s="3" t="s">
        <v>92</v>
      </c>
      <c r="B79" s="47"/>
      <c r="C79" s="47"/>
      <c r="D79" s="47"/>
      <c r="E79" s="47"/>
      <c r="F79" s="47"/>
      <c r="G79" s="47"/>
      <c r="H79" s="47"/>
      <c r="I79" s="47"/>
      <c r="J79" s="47"/>
      <c r="K79" s="48"/>
      <c r="L79" s="47"/>
      <c r="M79" s="48"/>
      <c r="N79" s="47"/>
    </row>
    <row r="80" spans="1:14">
      <c r="A80" s="3" t="s">
        <v>93</v>
      </c>
      <c r="B80" s="47"/>
      <c r="C80" s="47"/>
      <c r="D80" s="47"/>
      <c r="E80" s="47"/>
      <c r="F80" s="47"/>
      <c r="G80" s="47"/>
      <c r="H80" s="47"/>
      <c r="I80" s="47"/>
      <c r="J80" s="47"/>
      <c r="K80" s="48"/>
      <c r="L80" s="47"/>
      <c r="M80" s="48"/>
      <c r="N80" s="47"/>
    </row>
    <row r="81" spans="1:14">
      <c r="A81" s="3" t="s">
        <v>94</v>
      </c>
      <c r="B81" s="47"/>
      <c r="C81" s="47"/>
      <c r="D81" s="47"/>
      <c r="E81" s="47"/>
      <c r="F81" s="47"/>
      <c r="G81" s="47"/>
      <c r="H81" s="47"/>
      <c r="I81" s="47"/>
      <c r="J81" s="47"/>
      <c r="K81" s="48"/>
      <c r="L81" s="47"/>
      <c r="M81" s="48"/>
      <c r="N81" s="47"/>
    </row>
    <row r="82" spans="1:14">
      <c r="A82" s="3" t="s">
        <v>95</v>
      </c>
      <c r="B82" s="47"/>
      <c r="C82" s="47"/>
      <c r="D82" s="47"/>
      <c r="E82" s="47"/>
      <c r="F82" s="47"/>
      <c r="G82" s="47"/>
      <c r="H82" s="47"/>
      <c r="I82" s="47"/>
      <c r="J82" s="47"/>
      <c r="K82" s="48"/>
      <c r="L82" s="47"/>
      <c r="M82" s="48"/>
      <c r="N82" s="47"/>
    </row>
    <row r="83" spans="1:14">
      <c r="A83" s="3" t="s">
        <v>96</v>
      </c>
      <c r="B83" s="47"/>
      <c r="C83" s="47"/>
      <c r="D83" s="47"/>
      <c r="E83" s="47"/>
      <c r="F83" s="47"/>
      <c r="G83" s="47"/>
      <c r="H83" s="47"/>
      <c r="I83" s="47"/>
      <c r="J83" s="47"/>
      <c r="K83" s="48"/>
      <c r="L83" s="47"/>
      <c r="M83" s="48"/>
      <c r="N83" s="47"/>
    </row>
    <row r="84" spans="1:14">
      <c r="A84" s="3" t="s">
        <v>97</v>
      </c>
      <c r="B84" s="47"/>
      <c r="C84" s="47"/>
      <c r="D84" s="47"/>
      <c r="E84" s="47"/>
      <c r="F84" s="47"/>
      <c r="G84" s="47"/>
      <c r="H84" s="47"/>
      <c r="I84" s="47"/>
      <c r="J84" s="47"/>
      <c r="K84" s="48"/>
      <c r="L84" s="47"/>
      <c r="M84" s="48"/>
      <c r="N84" s="47"/>
    </row>
    <row r="85" spans="1:14">
      <c r="A85" s="3" t="s">
        <v>98</v>
      </c>
      <c r="B85" s="47"/>
      <c r="C85" s="47"/>
      <c r="D85" s="47"/>
      <c r="E85" s="47"/>
      <c r="F85" s="47"/>
      <c r="G85" s="47"/>
      <c r="H85" s="47"/>
      <c r="I85" s="47"/>
      <c r="J85" s="47"/>
      <c r="K85" s="48"/>
      <c r="L85" s="47"/>
      <c r="M85" s="48"/>
      <c r="N85" s="47"/>
    </row>
    <row r="86" spans="1:14">
      <c r="A86" s="3" t="s">
        <v>99</v>
      </c>
      <c r="B86" s="47"/>
      <c r="C86" s="47"/>
      <c r="D86" s="47"/>
      <c r="E86" s="47"/>
      <c r="F86" s="47"/>
      <c r="G86" s="47"/>
      <c r="H86" s="47"/>
      <c r="I86" s="47"/>
      <c r="J86" s="47"/>
      <c r="K86" s="48"/>
      <c r="L86" s="47"/>
      <c r="M86" s="48"/>
      <c r="N86" s="47"/>
    </row>
    <row r="87" spans="1:14">
      <c r="A87" s="3" t="s">
        <v>100</v>
      </c>
      <c r="B87" s="47"/>
      <c r="C87" s="47"/>
      <c r="D87" s="47"/>
      <c r="E87" s="47"/>
      <c r="F87" s="47"/>
      <c r="G87" s="47"/>
      <c r="H87" s="47"/>
      <c r="I87" s="47"/>
      <c r="J87" s="47"/>
      <c r="K87" s="48"/>
      <c r="L87" s="47"/>
      <c r="M87" s="48"/>
      <c r="N87" s="47"/>
    </row>
    <row r="88" spans="1:14">
      <c r="A88" s="3" t="s">
        <v>101</v>
      </c>
      <c r="B88" s="47"/>
      <c r="C88" s="47"/>
      <c r="D88" s="47"/>
      <c r="E88" s="47"/>
      <c r="F88" s="47"/>
      <c r="G88" s="47"/>
      <c r="H88" s="47"/>
      <c r="I88" s="47"/>
      <c r="J88" s="47"/>
      <c r="K88" s="48"/>
      <c r="L88" s="47"/>
      <c r="M88" s="48"/>
      <c r="N88" s="47"/>
    </row>
    <row r="89" spans="1:14">
      <c r="A89" s="3" t="s">
        <v>102</v>
      </c>
      <c r="B89" s="47"/>
      <c r="C89" s="47"/>
      <c r="D89" s="47"/>
      <c r="E89" s="47"/>
      <c r="F89" s="47"/>
      <c r="G89" s="47"/>
      <c r="H89" s="47"/>
      <c r="I89" s="47"/>
      <c r="J89" s="47"/>
      <c r="K89" s="48"/>
      <c r="L89" s="47"/>
      <c r="M89" s="48"/>
      <c r="N89" s="47"/>
    </row>
    <row r="90" spans="1:14">
      <c r="A90" s="3" t="s">
        <v>103</v>
      </c>
      <c r="B90" s="47"/>
      <c r="C90" s="47"/>
      <c r="D90" s="47"/>
      <c r="E90" s="47"/>
      <c r="F90" s="47"/>
      <c r="G90" s="47"/>
      <c r="H90" s="47"/>
      <c r="I90" s="47"/>
      <c r="J90" s="47"/>
      <c r="K90" s="48"/>
      <c r="L90" s="47"/>
      <c r="M90" s="48"/>
      <c r="N90" s="47"/>
    </row>
    <row r="91" spans="1:14">
      <c r="A91" s="3" t="s">
        <v>104</v>
      </c>
      <c r="B91" s="47"/>
      <c r="C91" s="47"/>
      <c r="D91" s="47"/>
      <c r="E91" s="47"/>
      <c r="F91" s="47"/>
      <c r="G91" s="47"/>
      <c r="H91" s="47"/>
      <c r="I91" s="47"/>
      <c r="J91" s="47"/>
      <c r="K91" s="48"/>
      <c r="L91" s="47"/>
      <c r="M91" s="48"/>
      <c r="N91" s="47"/>
    </row>
    <row r="92" spans="1:14">
      <c r="A92" s="3" t="s">
        <v>105</v>
      </c>
      <c r="B92" s="47"/>
      <c r="C92" s="47"/>
      <c r="D92" s="47"/>
      <c r="E92" s="47"/>
      <c r="F92" s="47"/>
      <c r="G92" s="47"/>
      <c r="H92" s="47"/>
      <c r="I92" s="47"/>
      <c r="J92" s="47"/>
      <c r="K92" s="48"/>
      <c r="L92" s="47"/>
      <c r="M92" s="48"/>
      <c r="N92" s="47"/>
    </row>
    <row r="93" spans="1:14">
      <c r="A93" s="3" t="s">
        <v>106</v>
      </c>
      <c r="B93" s="47"/>
      <c r="C93" s="47"/>
      <c r="D93" s="47"/>
      <c r="E93" s="47"/>
      <c r="F93" s="47"/>
      <c r="G93" s="47"/>
      <c r="H93" s="47"/>
      <c r="I93" s="47"/>
      <c r="J93" s="47"/>
      <c r="K93" s="48"/>
      <c r="L93" s="47"/>
      <c r="M93" s="48"/>
      <c r="N93" s="47"/>
    </row>
    <row r="94" spans="1:14">
      <c r="A94" s="3" t="s">
        <v>107</v>
      </c>
      <c r="B94" s="47"/>
      <c r="C94" s="47"/>
      <c r="D94" s="47"/>
      <c r="E94" s="47"/>
      <c r="F94" s="47"/>
      <c r="G94" s="47"/>
      <c r="H94" s="47"/>
      <c r="I94" s="47"/>
      <c r="J94" s="47"/>
      <c r="K94" s="48"/>
      <c r="L94" s="47"/>
      <c r="M94" s="48"/>
      <c r="N94" s="47"/>
    </row>
    <row r="95" spans="1:14">
      <c r="A95" s="3" t="s">
        <v>108</v>
      </c>
      <c r="B95" s="47"/>
      <c r="C95" s="47"/>
      <c r="D95" s="47"/>
      <c r="E95" s="47"/>
      <c r="F95" s="47"/>
      <c r="G95" s="47"/>
      <c r="H95" s="47"/>
      <c r="I95" s="47"/>
      <c r="J95" s="47"/>
      <c r="K95" s="48"/>
      <c r="L95" s="47"/>
      <c r="M95" s="48"/>
      <c r="N95" s="47"/>
    </row>
    <row r="96" spans="1:14">
      <c r="A96" s="3" t="s">
        <v>109</v>
      </c>
      <c r="B96" s="47"/>
      <c r="C96" s="47"/>
      <c r="D96" s="47"/>
      <c r="E96" s="47"/>
      <c r="F96" s="47"/>
      <c r="G96" s="47"/>
      <c r="H96" s="47"/>
      <c r="I96" s="47"/>
      <c r="J96" s="47"/>
      <c r="K96" s="48"/>
      <c r="L96" s="47"/>
      <c r="M96" s="48"/>
      <c r="N96" s="47"/>
    </row>
    <row r="97" spans="1:14">
      <c r="A97" s="3" t="s">
        <v>110</v>
      </c>
      <c r="B97" s="47"/>
      <c r="C97" s="47"/>
      <c r="D97" s="47"/>
      <c r="E97" s="47"/>
      <c r="F97" s="47"/>
      <c r="G97" s="47"/>
      <c r="H97" s="47"/>
      <c r="I97" s="47"/>
      <c r="J97" s="47"/>
      <c r="K97" s="48"/>
      <c r="L97" s="47"/>
      <c r="M97" s="48"/>
      <c r="N97" s="47"/>
    </row>
    <row r="98" spans="1:14">
      <c r="A98" s="3" t="s">
        <v>111</v>
      </c>
      <c r="B98" s="47"/>
      <c r="C98" s="47"/>
      <c r="D98" s="47"/>
      <c r="E98" s="47"/>
      <c r="F98" s="47"/>
      <c r="G98" s="47"/>
      <c r="H98" s="47"/>
      <c r="I98" s="47"/>
      <c r="J98" s="47"/>
      <c r="K98" s="48"/>
      <c r="L98" s="47"/>
      <c r="M98" s="48"/>
      <c r="N98" s="47"/>
    </row>
    <row r="99" spans="1:14">
      <c r="A99" s="3" t="s">
        <v>112</v>
      </c>
      <c r="B99" s="47"/>
      <c r="C99" s="47"/>
      <c r="D99" s="47"/>
      <c r="E99" s="47"/>
      <c r="F99" s="47"/>
      <c r="G99" s="47"/>
      <c r="H99" s="47"/>
      <c r="I99" s="47"/>
      <c r="J99" s="47"/>
      <c r="K99" s="48"/>
      <c r="L99" s="47"/>
      <c r="M99" s="48"/>
      <c r="N99" s="47"/>
    </row>
    <row r="100" spans="1:14">
      <c r="A100" s="3" t="s">
        <v>113</v>
      </c>
      <c r="B100" s="47"/>
      <c r="C100" s="47"/>
      <c r="D100" s="47"/>
      <c r="E100" s="47"/>
      <c r="F100" s="47"/>
      <c r="G100" s="47"/>
      <c r="H100" s="47"/>
      <c r="I100" s="47"/>
      <c r="J100" s="47"/>
      <c r="K100" s="48"/>
      <c r="L100" s="47"/>
      <c r="M100" s="48"/>
      <c r="N100" s="47"/>
    </row>
    <row r="101" spans="1:14">
      <c r="A101" s="3" t="s">
        <v>114</v>
      </c>
      <c r="B101" s="47"/>
      <c r="C101" s="47"/>
      <c r="D101" s="47"/>
      <c r="E101" s="47"/>
      <c r="F101" s="47"/>
      <c r="G101" s="47"/>
      <c r="H101" s="47"/>
      <c r="I101" s="47"/>
      <c r="J101" s="47"/>
      <c r="K101" s="48"/>
      <c r="L101" s="47"/>
      <c r="M101" s="48"/>
      <c r="N101" s="47"/>
    </row>
    <row r="102" spans="1:14" s="18" customFormat="1">
      <c r="A102" s="17"/>
      <c r="K102" s="25"/>
    </row>
  </sheetData>
  <sheetProtection formatCells="0" formatColumns="0" formatRows="0"/>
  <protectedRanges>
    <protectedRange sqref="B2:N101" name="Range1" securityDescriptor="O:WDG:WDD:(A;;CC;;;S-1-5-21-2765415570-973575261-3607781193-1203)"/>
  </protectedRanges>
  <customSheetViews>
    <customSheetView guid="{7656BB3C-1299-4E61-A887-A5F4101AF2AB}" scale="90" hiddenColumns="1">
      <pane xSplit="1" ySplit="1" topLeftCell="B2" activePane="bottomRight" state="frozen"/>
      <selection pane="bottomRight" activeCell="B10" sqref="B10"/>
      <pageMargins left="0.25" right="0.25" top="0.75" bottom="0.75" header="0.3" footer="0.3"/>
    </customSheetView>
    <customSheetView guid="{DB3826DE-0319-4671-8564-0DA8C5492560}" scale="70">
      <pane xSplit="1" ySplit="1" topLeftCell="B2" activePane="bottomRight" state="frozen"/>
      <selection pane="bottomRight" activeCell="L5" sqref="L5"/>
      <pageMargins left="0.25" right="0.25" top="0.75" bottom="0.75" header="0.3" footer="0.3"/>
      <pageSetup orientation="portrait" horizontalDpi="4294967295" verticalDpi="4294967295" r:id="rId1"/>
    </customSheetView>
  </customSheetViews>
  <phoneticPr fontId="4" type="noConversion"/>
  <dataValidations count="3">
    <dataValidation type="list" allowBlank="1" showInputMessage="1" showErrorMessage="1" sqref="G2:G101">
      <formula1>ItemType</formula1>
    </dataValidation>
    <dataValidation type="list" allowBlank="1" showInputMessage="1" showErrorMessage="1" sqref="J2:J101">
      <formula1>BorrowPeriod</formula1>
    </dataValidation>
    <dataValidation type="list" allowBlank="1" showInputMessage="1" showErrorMessage="1" sqref="L2:L101">
      <formula1>Returned</formula1>
    </dataValidation>
  </dataValidations>
  <pageMargins left="0.25" right="0.25" top="0.75" bottom="0.75" header="0.3" footer="0.3"/>
  <pageSetup orientation="portrait" horizontalDpi="4294967295" verticalDpi="4294967295"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6"/>
  </sheetPr>
  <dimension ref="A1:N102"/>
  <sheetViews>
    <sheetView zoomScale="80" zoomScaleNormal="80" zoomScalePageLayoutView="80" workbookViewId="0">
      <pane xSplit="1" ySplit="1" topLeftCell="C2" activePane="bottomRight" state="frozen"/>
      <selection activeCell="E45" sqref="E45"/>
      <selection pane="topRight" activeCell="E45" sqref="E45"/>
      <selection pane="bottomLeft" activeCell="E45" sqref="E45"/>
      <selection pane="bottomRight" activeCell="E45" sqref="E45"/>
    </sheetView>
  </sheetViews>
  <sheetFormatPr defaultColWidth="11" defaultRowHeight="15.75"/>
  <cols>
    <col min="1" max="1" width="6.125" style="3" customWidth="1"/>
    <col min="2" max="2" width="10.125" customWidth="1"/>
    <col min="3" max="4" width="14.375" customWidth="1"/>
    <col min="5" max="5" width="12.375" customWidth="1"/>
    <col min="6" max="6" width="14" customWidth="1"/>
    <col min="8" max="8" width="29" customWidth="1"/>
    <col min="9" max="9" width="17" customWidth="1"/>
    <col min="10" max="10" width="8.875" customWidth="1"/>
    <col min="11" max="11" width="9" bestFit="1" customWidth="1"/>
    <col min="13" max="13" width="21.375" customWidth="1"/>
  </cols>
  <sheetData>
    <row r="1" spans="1:14" s="6" customFormat="1" ht="31.5">
      <c r="A1" s="5" t="s">
        <v>115</v>
      </c>
      <c r="B1" s="5" t="s">
        <v>0</v>
      </c>
      <c r="C1" s="5" t="s">
        <v>116</v>
      </c>
      <c r="D1" s="5" t="s">
        <v>117</v>
      </c>
      <c r="E1" s="5" t="s">
        <v>118</v>
      </c>
      <c r="F1" s="5" t="s">
        <v>134</v>
      </c>
      <c r="G1" s="5" t="s">
        <v>1</v>
      </c>
      <c r="H1" s="5" t="s">
        <v>119</v>
      </c>
      <c r="I1" s="5" t="s">
        <v>120</v>
      </c>
      <c r="J1" s="5" t="s">
        <v>2</v>
      </c>
      <c r="K1" s="5" t="s">
        <v>121</v>
      </c>
      <c r="L1" s="5" t="s">
        <v>122</v>
      </c>
      <c r="M1" s="5" t="s">
        <v>131</v>
      </c>
      <c r="N1" s="5" t="s">
        <v>372</v>
      </c>
    </row>
    <row r="2" spans="1:14">
      <c r="A2" s="3" t="s">
        <v>172</v>
      </c>
      <c r="B2" s="47"/>
      <c r="C2" s="47"/>
      <c r="D2" s="47"/>
      <c r="E2" s="47"/>
      <c r="F2" s="47"/>
      <c r="G2" s="47"/>
      <c r="H2" s="47"/>
      <c r="I2" s="47"/>
      <c r="J2" s="47"/>
      <c r="K2" s="48"/>
      <c r="L2" s="47"/>
      <c r="M2" s="48"/>
    </row>
    <row r="3" spans="1:14">
      <c r="A3" s="3" t="s">
        <v>173</v>
      </c>
      <c r="B3" s="47"/>
      <c r="C3" s="47"/>
      <c r="D3" s="47"/>
      <c r="E3" s="47"/>
      <c r="F3" s="47"/>
      <c r="G3" s="47"/>
      <c r="H3" s="47"/>
      <c r="I3" s="47"/>
      <c r="J3" s="47"/>
      <c r="K3" s="48"/>
      <c r="L3" s="47"/>
      <c r="M3" s="48"/>
    </row>
    <row r="4" spans="1:14">
      <c r="A4" s="3" t="s">
        <v>174</v>
      </c>
      <c r="B4" s="47"/>
      <c r="C4" s="47"/>
      <c r="D4" s="47"/>
      <c r="E4" s="47"/>
      <c r="F4" s="47"/>
      <c r="G4" s="47"/>
      <c r="H4" s="47"/>
      <c r="I4" s="47"/>
      <c r="J4" s="47"/>
      <c r="K4" s="48"/>
      <c r="L4" s="47"/>
      <c r="M4" s="48"/>
    </row>
    <row r="5" spans="1:14">
      <c r="A5" s="3" t="s">
        <v>175</v>
      </c>
      <c r="B5" s="47"/>
      <c r="C5" s="47"/>
      <c r="D5" s="47"/>
      <c r="E5" s="47"/>
      <c r="F5" s="47"/>
      <c r="G5" s="47"/>
      <c r="H5" s="47"/>
      <c r="I5" s="47"/>
      <c r="J5" s="47"/>
      <c r="K5" s="48"/>
      <c r="L5" s="47"/>
      <c r="M5" s="48"/>
    </row>
    <row r="6" spans="1:14">
      <c r="A6" s="3" t="s">
        <v>176</v>
      </c>
      <c r="B6" s="47"/>
      <c r="C6" s="47"/>
      <c r="D6" s="47"/>
      <c r="E6" s="47"/>
      <c r="F6" s="47"/>
      <c r="G6" s="47"/>
      <c r="H6" s="47"/>
      <c r="I6" s="47"/>
      <c r="J6" s="47"/>
      <c r="K6" s="48"/>
      <c r="L6" s="47"/>
      <c r="M6" s="48"/>
    </row>
    <row r="7" spans="1:14">
      <c r="A7" s="3" t="s">
        <v>177</v>
      </c>
      <c r="B7" s="47"/>
      <c r="C7" s="47"/>
      <c r="D7" s="47"/>
      <c r="E7" s="47"/>
      <c r="F7" s="47"/>
      <c r="G7" s="47"/>
      <c r="H7" s="47"/>
      <c r="I7" s="47"/>
      <c r="J7" s="47"/>
      <c r="K7" s="48"/>
      <c r="L7" s="47"/>
      <c r="M7" s="48"/>
    </row>
    <row r="8" spans="1:14">
      <c r="A8" s="3" t="s">
        <v>178</v>
      </c>
      <c r="B8" s="47"/>
      <c r="C8" s="47"/>
      <c r="D8" s="47"/>
      <c r="E8" s="47"/>
      <c r="F8" s="47"/>
      <c r="G8" s="47"/>
      <c r="H8" s="47"/>
      <c r="I8" s="47"/>
      <c r="J8" s="47"/>
      <c r="K8" s="48"/>
      <c r="L8" s="47"/>
      <c r="M8" s="48"/>
    </row>
    <row r="9" spans="1:14">
      <c r="A9" s="3" t="s">
        <v>179</v>
      </c>
      <c r="B9" s="47"/>
      <c r="C9" s="47"/>
      <c r="D9" s="47"/>
      <c r="E9" s="47"/>
      <c r="F9" s="47"/>
      <c r="G9" s="47"/>
      <c r="H9" s="47"/>
      <c r="I9" s="47"/>
      <c r="J9" s="47"/>
      <c r="K9" s="48"/>
      <c r="L9" s="47"/>
      <c r="M9" s="48"/>
    </row>
    <row r="10" spans="1:14">
      <c r="A10" s="3" t="s">
        <v>180</v>
      </c>
      <c r="B10" s="47"/>
      <c r="C10" s="47"/>
      <c r="D10" s="47"/>
      <c r="E10" s="47"/>
      <c r="F10" s="47"/>
      <c r="G10" s="47"/>
      <c r="H10" s="47"/>
      <c r="I10" s="47"/>
      <c r="J10" s="47"/>
      <c r="K10" s="48"/>
      <c r="L10" s="47"/>
      <c r="M10" s="48"/>
    </row>
    <row r="11" spans="1:14">
      <c r="A11" s="3" t="s">
        <v>181</v>
      </c>
      <c r="B11" s="47"/>
      <c r="C11" s="47"/>
      <c r="D11" s="47"/>
      <c r="E11" s="47"/>
      <c r="F11" s="47"/>
      <c r="G11" s="47"/>
      <c r="H11" s="47"/>
      <c r="I11" s="47"/>
      <c r="J11" s="47"/>
      <c r="K11" s="48"/>
      <c r="L11" s="47"/>
      <c r="M11" s="48"/>
    </row>
    <row r="12" spans="1:14">
      <c r="A12" s="3" t="s">
        <v>182</v>
      </c>
      <c r="B12" s="47"/>
      <c r="C12" s="47"/>
      <c r="D12" s="47"/>
      <c r="E12" s="47"/>
      <c r="F12" s="47"/>
      <c r="G12" s="47"/>
      <c r="H12" s="47"/>
      <c r="I12" s="47"/>
      <c r="J12" s="47"/>
      <c r="K12" s="48"/>
      <c r="L12" s="47"/>
      <c r="M12" s="48"/>
    </row>
    <row r="13" spans="1:14">
      <c r="A13" s="3" t="s">
        <v>183</v>
      </c>
      <c r="B13" s="47"/>
      <c r="C13" s="47"/>
      <c r="D13" s="47"/>
      <c r="E13" s="47"/>
      <c r="F13" s="47"/>
      <c r="G13" s="47"/>
      <c r="H13" s="47"/>
      <c r="I13" s="47"/>
      <c r="J13" s="47"/>
      <c r="K13" s="48"/>
      <c r="L13" s="47"/>
      <c r="M13" s="48"/>
    </row>
    <row r="14" spans="1:14">
      <c r="A14" s="3" t="s">
        <v>184</v>
      </c>
      <c r="B14" s="47"/>
      <c r="C14" s="47"/>
      <c r="D14" s="47"/>
      <c r="E14" s="47"/>
      <c r="F14" s="47"/>
      <c r="G14" s="47"/>
      <c r="H14" s="47"/>
      <c r="I14" s="47"/>
      <c r="J14" s="47"/>
      <c r="K14" s="48"/>
      <c r="L14" s="47"/>
      <c r="M14" s="48"/>
    </row>
    <row r="15" spans="1:14">
      <c r="A15" s="3" t="s">
        <v>185</v>
      </c>
      <c r="B15" s="47"/>
      <c r="C15" s="47"/>
      <c r="D15" s="47"/>
      <c r="E15" s="47"/>
      <c r="F15" s="47"/>
      <c r="G15" s="47"/>
      <c r="H15" s="47"/>
      <c r="I15" s="47"/>
      <c r="J15" s="47"/>
      <c r="K15" s="48"/>
      <c r="L15" s="47"/>
      <c r="M15" s="48"/>
    </row>
    <row r="16" spans="1:14">
      <c r="A16" s="3" t="s">
        <v>186</v>
      </c>
      <c r="B16" s="47"/>
      <c r="C16" s="47"/>
      <c r="D16" s="47"/>
      <c r="E16" s="47"/>
      <c r="F16" s="47"/>
      <c r="G16" s="47"/>
      <c r="H16" s="47"/>
      <c r="I16" s="47"/>
      <c r="J16" s="47"/>
      <c r="K16" s="48"/>
      <c r="L16" s="47"/>
      <c r="M16" s="48"/>
    </row>
    <row r="17" spans="1:13">
      <c r="A17" s="3" t="s">
        <v>187</v>
      </c>
      <c r="B17" s="47"/>
      <c r="C17" s="47"/>
      <c r="D17" s="47"/>
      <c r="E17" s="47"/>
      <c r="F17" s="47"/>
      <c r="G17" s="47"/>
      <c r="H17" s="47"/>
      <c r="I17" s="47"/>
      <c r="J17" s="47"/>
      <c r="K17" s="48"/>
      <c r="L17" s="47"/>
      <c r="M17" s="48"/>
    </row>
    <row r="18" spans="1:13">
      <c r="A18" s="3" t="s">
        <v>188</v>
      </c>
      <c r="B18" s="47"/>
      <c r="C18" s="47"/>
      <c r="D18" s="47"/>
      <c r="E18" s="47"/>
      <c r="F18" s="47"/>
      <c r="G18" s="47"/>
      <c r="H18" s="47"/>
      <c r="I18" s="47"/>
      <c r="J18" s="47"/>
      <c r="K18" s="48"/>
      <c r="L18" s="47"/>
      <c r="M18" s="48"/>
    </row>
    <row r="19" spans="1:13">
      <c r="A19" s="3" t="s">
        <v>189</v>
      </c>
      <c r="B19" s="47"/>
      <c r="C19" s="47"/>
      <c r="D19" s="47"/>
      <c r="E19" s="47"/>
      <c r="F19" s="47"/>
      <c r="G19" s="47"/>
      <c r="H19" s="47"/>
      <c r="I19" s="47"/>
      <c r="J19" s="47"/>
      <c r="K19" s="48"/>
      <c r="L19" s="47"/>
      <c r="M19" s="48"/>
    </row>
    <row r="20" spans="1:13">
      <c r="A20" s="3" t="s">
        <v>190</v>
      </c>
      <c r="B20" s="47"/>
      <c r="C20" s="47"/>
      <c r="D20" s="47"/>
      <c r="E20" s="47"/>
      <c r="F20" s="47"/>
      <c r="G20" s="47"/>
      <c r="H20" s="47"/>
      <c r="I20" s="47"/>
      <c r="J20" s="47"/>
      <c r="K20" s="48"/>
      <c r="L20" s="47"/>
      <c r="M20" s="48"/>
    </row>
    <row r="21" spans="1:13">
      <c r="A21" s="3" t="s">
        <v>191</v>
      </c>
      <c r="B21" s="47"/>
      <c r="C21" s="47"/>
      <c r="D21" s="47"/>
      <c r="E21" s="47"/>
      <c r="F21" s="47"/>
      <c r="G21" s="47"/>
      <c r="H21" s="47"/>
      <c r="I21" s="47"/>
      <c r="J21" s="47"/>
      <c r="K21" s="48"/>
      <c r="L21" s="47"/>
      <c r="M21" s="48"/>
    </row>
    <row r="22" spans="1:13">
      <c r="A22" s="3" t="s">
        <v>192</v>
      </c>
      <c r="B22" s="47"/>
      <c r="C22" s="47"/>
      <c r="D22" s="47"/>
      <c r="E22" s="47"/>
      <c r="F22" s="47"/>
      <c r="G22" s="47"/>
      <c r="H22" s="47"/>
      <c r="I22" s="47"/>
      <c r="J22" s="47"/>
      <c r="K22" s="48"/>
      <c r="L22" s="47"/>
      <c r="M22" s="48"/>
    </row>
    <row r="23" spans="1:13">
      <c r="A23" s="3" t="s">
        <v>193</v>
      </c>
      <c r="B23" s="47"/>
      <c r="C23" s="47"/>
      <c r="D23" s="47"/>
      <c r="E23" s="47"/>
      <c r="F23" s="47"/>
      <c r="G23" s="47"/>
      <c r="H23" s="47"/>
      <c r="I23" s="47"/>
      <c r="J23" s="47"/>
      <c r="K23" s="48"/>
      <c r="L23" s="47"/>
      <c r="M23" s="48"/>
    </row>
    <row r="24" spans="1:13">
      <c r="A24" s="3" t="s">
        <v>194</v>
      </c>
      <c r="B24" s="47"/>
      <c r="C24" s="47"/>
      <c r="D24" s="47"/>
      <c r="E24" s="47"/>
      <c r="F24" s="47"/>
      <c r="G24" s="47"/>
      <c r="H24" s="47"/>
      <c r="I24" s="47"/>
      <c r="J24" s="47"/>
      <c r="K24" s="48"/>
      <c r="L24" s="47"/>
      <c r="M24" s="48"/>
    </row>
    <row r="25" spans="1:13">
      <c r="A25" s="3" t="s">
        <v>195</v>
      </c>
      <c r="B25" s="47"/>
      <c r="C25" s="47"/>
      <c r="D25" s="47"/>
      <c r="E25" s="47"/>
      <c r="F25" s="47"/>
      <c r="G25" s="47"/>
      <c r="H25" s="47"/>
      <c r="I25" s="47"/>
      <c r="J25" s="47"/>
      <c r="K25" s="48"/>
      <c r="L25" s="47"/>
      <c r="M25" s="48"/>
    </row>
    <row r="26" spans="1:13">
      <c r="A26" s="3" t="s">
        <v>196</v>
      </c>
      <c r="B26" s="47"/>
      <c r="C26" s="47"/>
      <c r="D26" s="47"/>
      <c r="E26" s="47"/>
      <c r="F26" s="47"/>
      <c r="G26" s="47"/>
      <c r="H26" s="47"/>
      <c r="I26" s="47"/>
      <c r="J26" s="47"/>
      <c r="K26" s="48"/>
      <c r="L26" s="47"/>
      <c r="M26" s="48"/>
    </row>
    <row r="27" spans="1:13">
      <c r="A27" s="3" t="s">
        <v>197</v>
      </c>
      <c r="B27" s="47"/>
      <c r="C27" s="47"/>
      <c r="D27" s="47"/>
      <c r="E27" s="47"/>
      <c r="F27" s="47"/>
      <c r="G27" s="47"/>
      <c r="H27" s="47"/>
      <c r="I27" s="47"/>
      <c r="J27" s="47"/>
      <c r="K27" s="48"/>
      <c r="L27" s="47"/>
      <c r="M27" s="48"/>
    </row>
    <row r="28" spans="1:13">
      <c r="A28" s="3" t="s">
        <v>198</v>
      </c>
      <c r="B28" s="47"/>
      <c r="C28" s="47"/>
      <c r="D28" s="47"/>
      <c r="E28" s="47"/>
      <c r="F28" s="47"/>
      <c r="G28" s="47"/>
      <c r="H28" s="47"/>
      <c r="I28" s="47"/>
      <c r="J28" s="47"/>
      <c r="K28" s="48"/>
      <c r="L28" s="47"/>
      <c r="M28" s="48"/>
    </row>
    <row r="29" spans="1:13">
      <c r="A29" s="3" t="s">
        <v>199</v>
      </c>
      <c r="B29" s="47"/>
      <c r="C29" s="47"/>
      <c r="D29" s="47"/>
      <c r="E29" s="47"/>
      <c r="F29" s="47"/>
      <c r="G29" s="47"/>
      <c r="H29" s="47"/>
      <c r="I29" s="47"/>
      <c r="J29" s="47"/>
      <c r="K29" s="48"/>
      <c r="L29" s="47"/>
      <c r="M29" s="48"/>
    </row>
    <row r="30" spans="1:13">
      <c r="A30" s="3" t="s">
        <v>200</v>
      </c>
      <c r="B30" s="47"/>
      <c r="C30" s="47"/>
      <c r="D30" s="47"/>
      <c r="E30" s="47"/>
      <c r="F30" s="47"/>
      <c r="G30" s="47"/>
      <c r="H30" s="47"/>
      <c r="I30" s="47"/>
      <c r="J30" s="47"/>
      <c r="K30" s="48"/>
      <c r="L30" s="47"/>
      <c r="M30" s="48"/>
    </row>
    <row r="31" spans="1:13">
      <c r="A31" s="3" t="s">
        <v>201</v>
      </c>
      <c r="B31" s="47"/>
      <c r="C31" s="47"/>
      <c r="D31" s="47"/>
      <c r="E31" s="47"/>
      <c r="F31" s="47"/>
      <c r="G31" s="47"/>
      <c r="H31" s="47"/>
      <c r="I31" s="47"/>
      <c r="J31" s="47"/>
      <c r="K31" s="48"/>
      <c r="L31" s="47"/>
      <c r="M31" s="48"/>
    </row>
    <row r="32" spans="1:13">
      <c r="A32" s="3" t="s">
        <v>202</v>
      </c>
      <c r="B32" s="47"/>
      <c r="C32" s="47"/>
      <c r="D32" s="47"/>
      <c r="E32" s="47"/>
      <c r="F32" s="47"/>
      <c r="G32" s="47"/>
      <c r="H32" s="47"/>
      <c r="I32" s="47"/>
      <c r="J32" s="47"/>
      <c r="K32" s="48"/>
      <c r="L32" s="47"/>
      <c r="M32" s="48"/>
    </row>
    <row r="33" spans="1:14">
      <c r="A33" s="3" t="s">
        <v>203</v>
      </c>
      <c r="B33" s="47"/>
      <c r="C33" s="47"/>
      <c r="D33" s="47"/>
      <c r="E33" s="47"/>
      <c r="F33" s="47"/>
      <c r="G33" s="47"/>
      <c r="H33" s="47"/>
      <c r="I33" s="47"/>
      <c r="J33" s="47"/>
      <c r="K33" s="48"/>
      <c r="L33" s="47"/>
      <c r="M33" s="48"/>
    </row>
    <row r="34" spans="1:14">
      <c r="A34" s="3" t="s">
        <v>204</v>
      </c>
      <c r="B34" s="47"/>
      <c r="C34" s="47"/>
      <c r="D34" s="47"/>
      <c r="E34" s="47"/>
      <c r="F34" s="47"/>
      <c r="G34" s="47"/>
      <c r="H34" s="47"/>
      <c r="I34" s="47"/>
      <c r="J34" s="47"/>
      <c r="K34" s="48"/>
      <c r="L34" s="47"/>
      <c r="M34" s="48"/>
    </row>
    <row r="35" spans="1:14">
      <c r="A35" s="3" t="s">
        <v>205</v>
      </c>
      <c r="B35" s="47"/>
      <c r="C35" s="47"/>
      <c r="D35" s="47"/>
      <c r="E35" s="47"/>
      <c r="F35" s="47"/>
      <c r="G35" s="47"/>
      <c r="H35" s="47"/>
      <c r="I35" s="47"/>
      <c r="J35" s="47"/>
      <c r="K35" s="48"/>
      <c r="L35" s="47"/>
      <c r="M35" s="48"/>
    </row>
    <row r="36" spans="1:14">
      <c r="A36" s="3" t="s">
        <v>206</v>
      </c>
      <c r="B36" s="47"/>
      <c r="C36" s="47"/>
      <c r="D36" s="47"/>
      <c r="E36" s="47"/>
      <c r="F36" s="47"/>
      <c r="G36" s="47"/>
      <c r="H36" s="47"/>
      <c r="I36" s="47"/>
      <c r="J36" s="47"/>
      <c r="K36" s="48"/>
      <c r="L36" s="47"/>
      <c r="M36" s="48"/>
    </row>
    <row r="37" spans="1:14">
      <c r="A37" s="3" t="s">
        <v>207</v>
      </c>
      <c r="B37" s="47"/>
      <c r="C37" s="47"/>
      <c r="D37" s="47"/>
      <c r="E37" s="47"/>
      <c r="F37" s="47"/>
      <c r="G37" s="47"/>
      <c r="H37" s="47"/>
      <c r="I37" s="47"/>
      <c r="J37" s="47"/>
      <c r="K37" s="48"/>
      <c r="L37" s="47"/>
      <c r="M37" s="48"/>
    </row>
    <row r="38" spans="1:14">
      <c r="A38" s="3" t="s">
        <v>208</v>
      </c>
      <c r="B38" s="47"/>
      <c r="C38" s="47"/>
      <c r="D38" s="47"/>
      <c r="E38" s="47"/>
      <c r="F38" s="47"/>
      <c r="G38" s="47"/>
      <c r="H38" s="47"/>
      <c r="I38" s="47"/>
      <c r="J38" s="47"/>
      <c r="K38" s="48"/>
      <c r="L38" s="47"/>
      <c r="M38" s="48"/>
      <c r="N38" s="47"/>
    </row>
    <row r="39" spans="1:14">
      <c r="A39" s="3" t="s">
        <v>209</v>
      </c>
      <c r="B39" s="47"/>
      <c r="C39" s="47"/>
      <c r="D39" s="47"/>
      <c r="E39" s="47"/>
      <c r="F39" s="47"/>
      <c r="G39" s="47"/>
      <c r="H39" s="47"/>
      <c r="I39" s="47"/>
      <c r="J39" s="47"/>
      <c r="K39" s="48"/>
      <c r="L39" s="47"/>
      <c r="M39" s="48"/>
      <c r="N39" s="47"/>
    </row>
    <row r="40" spans="1:14">
      <c r="A40" s="3" t="s">
        <v>210</v>
      </c>
      <c r="B40" s="47"/>
      <c r="C40" s="47"/>
      <c r="D40" s="47"/>
      <c r="E40" s="47"/>
      <c r="F40" s="47"/>
      <c r="G40" s="47"/>
      <c r="H40" s="47"/>
      <c r="I40" s="47"/>
      <c r="J40" s="47"/>
      <c r="K40" s="48"/>
      <c r="L40" s="47"/>
      <c r="M40" s="48"/>
      <c r="N40" s="47"/>
    </row>
    <row r="41" spans="1:14">
      <c r="A41" s="3" t="s">
        <v>211</v>
      </c>
      <c r="B41" s="47"/>
      <c r="C41" s="47"/>
      <c r="D41" s="47"/>
      <c r="E41" s="47"/>
      <c r="F41" s="47"/>
      <c r="G41" s="47"/>
      <c r="H41" s="47"/>
      <c r="I41" s="47"/>
      <c r="J41" s="47"/>
      <c r="K41" s="48"/>
      <c r="L41" s="47"/>
      <c r="M41" s="48"/>
      <c r="N41" s="47"/>
    </row>
    <row r="42" spans="1:14">
      <c r="A42" s="3" t="s">
        <v>212</v>
      </c>
      <c r="B42" s="47"/>
      <c r="C42" s="47"/>
      <c r="D42" s="47"/>
      <c r="E42" s="47"/>
      <c r="F42" s="47"/>
      <c r="G42" s="47"/>
      <c r="H42" s="47"/>
      <c r="I42" s="47"/>
      <c r="J42" s="47"/>
      <c r="K42" s="48"/>
      <c r="L42" s="47"/>
      <c r="M42" s="48"/>
      <c r="N42" s="47"/>
    </row>
    <row r="43" spans="1:14">
      <c r="A43" s="3" t="s">
        <v>213</v>
      </c>
      <c r="B43" s="47"/>
      <c r="C43" s="47"/>
      <c r="D43" s="47"/>
      <c r="E43" s="47"/>
      <c r="F43" s="47"/>
      <c r="G43" s="47"/>
      <c r="H43" s="47"/>
      <c r="I43" s="47"/>
      <c r="J43" s="47"/>
      <c r="K43" s="48"/>
      <c r="L43" s="47"/>
      <c r="M43" s="48"/>
      <c r="N43" s="47"/>
    </row>
    <row r="44" spans="1:14">
      <c r="A44" s="3" t="s">
        <v>214</v>
      </c>
      <c r="B44" s="47"/>
      <c r="C44" s="47"/>
      <c r="D44" s="47"/>
      <c r="E44" s="47"/>
      <c r="F44" s="47"/>
      <c r="G44" s="47"/>
      <c r="H44" s="47"/>
      <c r="I44" s="47"/>
      <c r="J44" s="47"/>
      <c r="K44" s="48"/>
      <c r="L44" s="47"/>
      <c r="M44" s="48"/>
      <c r="N44" s="47"/>
    </row>
    <row r="45" spans="1:14">
      <c r="A45" s="3" t="s">
        <v>215</v>
      </c>
      <c r="B45" s="47"/>
      <c r="C45" s="47"/>
      <c r="D45" s="47"/>
      <c r="E45" s="47"/>
      <c r="F45" s="47"/>
      <c r="G45" s="47"/>
      <c r="H45" s="47"/>
      <c r="I45" s="47"/>
      <c r="J45" s="47"/>
      <c r="K45" s="48"/>
      <c r="L45" s="47"/>
      <c r="M45" s="48"/>
      <c r="N45" s="47"/>
    </row>
    <row r="46" spans="1:14">
      <c r="A46" s="3" t="s">
        <v>216</v>
      </c>
      <c r="B46" s="47"/>
      <c r="C46" s="47"/>
      <c r="D46" s="47"/>
      <c r="E46" s="47"/>
      <c r="F46" s="47"/>
      <c r="G46" s="47"/>
      <c r="H46" s="47"/>
      <c r="I46" s="47"/>
      <c r="J46" s="47"/>
      <c r="K46" s="48"/>
      <c r="L46" s="47"/>
      <c r="M46" s="48"/>
      <c r="N46" s="47"/>
    </row>
    <row r="47" spans="1:14">
      <c r="A47" s="3" t="s">
        <v>217</v>
      </c>
      <c r="B47" s="47"/>
      <c r="C47" s="47"/>
      <c r="D47" s="47"/>
      <c r="E47" s="47"/>
      <c r="F47" s="47"/>
      <c r="G47" s="47"/>
      <c r="H47" s="47"/>
      <c r="I47" s="47"/>
      <c r="J47" s="47"/>
      <c r="K47" s="48"/>
      <c r="L47" s="47"/>
      <c r="M47" s="48"/>
      <c r="N47" s="47"/>
    </row>
    <row r="48" spans="1:14">
      <c r="A48" s="3" t="s">
        <v>218</v>
      </c>
      <c r="B48" s="47"/>
      <c r="C48" s="47"/>
      <c r="D48" s="47"/>
      <c r="E48" s="47"/>
      <c r="F48" s="47"/>
      <c r="G48" s="47"/>
      <c r="H48" s="47"/>
      <c r="I48" s="47"/>
      <c r="J48" s="47"/>
      <c r="K48" s="48"/>
      <c r="L48" s="47"/>
      <c r="M48" s="48"/>
      <c r="N48" s="47"/>
    </row>
    <row r="49" spans="1:14">
      <c r="A49" s="3" t="s">
        <v>219</v>
      </c>
      <c r="B49" s="47"/>
      <c r="C49" s="47"/>
      <c r="D49" s="47"/>
      <c r="E49" s="47"/>
      <c r="F49" s="47"/>
      <c r="G49" s="47"/>
      <c r="H49" s="47"/>
      <c r="I49" s="47"/>
      <c r="J49" s="47"/>
      <c r="K49" s="48"/>
      <c r="L49" s="47"/>
      <c r="M49" s="48"/>
      <c r="N49" s="47"/>
    </row>
    <row r="50" spans="1:14">
      <c r="A50" s="3" t="s">
        <v>220</v>
      </c>
      <c r="B50" s="47"/>
      <c r="C50" s="47"/>
      <c r="D50" s="47"/>
      <c r="E50" s="47"/>
      <c r="F50" s="47"/>
      <c r="G50" s="47"/>
      <c r="H50" s="47"/>
      <c r="I50" s="47"/>
      <c r="J50" s="47"/>
      <c r="K50" s="48"/>
      <c r="L50" s="47"/>
      <c r="M50" s="48"/>
      <c r="N50" s="47"/>
    </row>
    <row r="51" spans="1:14">
      <c r="A51" s="3" t="s">
        <v>221</v>
      </c>
      <c r="B51" s="47"/>
      <c r="C51" s="47"/>
      <c r="D51" s="47"/>
      <c r="E51" s="47"/>
      <c r="F51" s="47"/>
      <c r="G51" s="47"/>
      <c r="H51" s="47"/>
      <c r="I51" s="47"/>
      <c r="J51" s="47"/>
      <c r="K51" s="48"/>
      <c r="L51" s="47"/>
      <c r="M51" s="48"/>
      <c r="N51" s="47"/>
    </row>
    <row r="52" spans="1:14">
      <c r="A52" s="3" t="s">
        <v>222</v>
      </c>
      <c r="B52" s="47"/>
      <c r="C52" s="47"/>
      <c r="D52" s="47"/>
      <c r="E52" s="47"/>
      <c r="F52" s="47"/>
      <c r="G52" s="47"/>
      <c r="H52" s="47"/>
      <c r="I52" s="47"/>
      <c r="J52" s="47"/>
      <c r="K52" s="48"/>
      <c r="L52" s="47"/>
      <c r="M52" s="48"/>
      <c r="N52" s="47"/>
    </row>
    <row r="53" spans="1:14">
      <c r="A53" s="3" t="s">
        <v>223</v>
      </c>
      <c r="B53" s="47"/>
      <c r="C53" s="47"/>
      <c r="D53" s="47"/>
      <c r="E53" s="47"/>
      <c r="F53" s="47"/>
      <c r="G53" s="47"/>
      <c r="H53" s="47"/>
      <c r="I53" s="47"/>
      <c r="J53" s="47"/>
      <c r="K53" s="48"/>
      <c r="L53" s="47"/>
      <c r="M53" s="48"/>
      <c r="N53" s="47"/>
    </row>
    <row r="54" spans="1:14">
      <c r="A54" s="3" t="s">
        <v>224</v>
      </c>
      <c r="B54" s="47"/>
      <c r="C54" s="47"/>
      <c r="D54" s="47"/>
      <c r="E54" s="47"/>
      <c r="F54" s="47"/>
      <c r="G54" s="47"/>
      <c r="H54" s="47"/>
      <c r="I54" s="47"/>
      <c r="J54" s="47"/>
      <c r="K54" s="48"/>
      <c r="L54" s="47"/>
      <c r="M54" s="48"/>
      <c r="N54" s="47"/>
    </row>
    <row r="55" spans="1:14">
      <c r="A55" s="3" t="s">
        <v>225</v>
      </c>
      <c r="B55" s="47"/>
      <c r="C55" s="47"/>
      <c r="D55" s="47"/>
      <c r="E55" s="47"/>
      <c r="F55" s="47"/>
      <c r="G55" s="47"/>
      <c r="H55" s="47"/>
      <c r="I55" s="47"/>
      <c r="J55" s="47"/>
      <c r="K55" s="48"/>
      <c r="L55" s="47"/>
      <c r="M55" s="48"/>
      <c r="N55" s="47"/>
    </row>
    <row r="56" spans="1:14">
      <c r="A56" s="3" t="s">
        <v>226</v>
      </c>
      <c r="B56" s="47"/>
      <c r="C56" s="47"/>
      <c r="D56" s="47"/>
      <c r="E56" s="47"/>
      <c r="F56" s="47"/>
      <c r="G56" s="47"/>
      <c r="H56" s="47"/>
      <c r="I56" s="47"/>
      <c r="J56" s="47"/>
      <c r="K56" s="48"/>
      <c r="L56" s="47"/>
      <c r="M56" s="48"/>
      <c r="N56" s="47"/>
    </row>
    <row r="57" spans="1:14">
      <c r="A57" s="3" t="s">
        <v>227</v>
      </c>
      <c r="B57" s="47"/>
      <c r="C57" s="47"/>
      <c r="D57" s="47"/>
      <c r="E57" s="47"/>
      <c r="F57" s="47"/>
      <c r="G57" s="47"/>
      <c r="H57" s="47"/>
      <c r="I57" s="47"/>
      <c r="J57" s="47"/>
      <c r="K57" s="48"/>
      <c r="L57" s="47"/>
      <c r="M57" s="48"/>
      <c r="N57" s="47"/>
    </row>
    <row r="58" spans="1:14">
      <c r="A58" s="3" t="s">
        <v>228</v>
      </c>
      <c r="B58" s="47"/>
      <c r="C58" s="47"/>
      <c r="D58" s="47"/>
      <c r="E58" s="47"/>
      <c r="F58" s="47"/>
      <c r="G58" s="47"/>
      <c r="H58" s="47"/>
      <c r="I58" s="47"/>
      <c r="J58" s="47"/>
      <c r="K58" s="48"/>
      <c r="L58" s="47"/>
      <c r="M58" s="48"/>
      <c r="N58" s="47"/>
    </row>
    <row r="59" spans="1:14">
      <c r="A59" s="3" t="s">
        <v>229</v>
      </c>
      <c r="B59" s="47"/>
      <c r="C59" s="47"/>
      <c r="D59" s="47"/>
      <c r="E59" s="47"/>
      <c r="F59" s="47"/>
      <c r="G59" s="47"/>
      <c r="H59" s="47"/>
      <c r="I59" s="47"/>
      <c r="J59" s="47"/>
      <c r="K59" s="48"/>
      <c r="L59" s="47"/>
      <c r="M59" s="48"/>
      <c r="N59" s="47"/>
    </row>
    <row r="60" spans="1:14">
      <c r="A60" s="3" t="s">
        <v>230</v>
      </c>
      <c r="B60" s="47"/>
      <c r="C60" s="47"/>
      <c r="D60" s="47"/>
      <c r="E60" s="47"/>
      <c r="F60" s="47"/>
      <c r="G60" s="47"/>
      <c r="H60" s="47"/>
      <c r="I60" s="47"/>
      <c r="J60" s="47"/>
      <c r="K60" s="48"/>
      <c r="L60" s="47"/>
      <c r="M60" s="48"/>
      <c r="N60" s="47"/>
    </row>
    <row r="61" spans="1:14">
      <c r="A61" s="3" t="s">
        <v>231</v>
      </c>
      <c r="B61" s="47"/>
      <c r="C61" s="47"/>
      <c r="D61" s="47"/>
      <c r="E61" s="47"/>
      <c r="F61" s="47"/>
      <c r="G61" s="47"/>
      <c r="H61" s="47"/>
      <c r="I61" s="47"/>
      <c r="J61" s="47"/>
      <c r="K61" s="48"/>
      <c r="L61" s="47"/>
      <c r="M61" s="48"/>
      <c r="N61" s="47"/>
    </row>
    <row r="62" spans="1:14">
      <c r="A62" s="3" t="s">
        <v>232</v>
      </c>
      <c r="B62" s="47"/>
      <c r="C62" s="47"/>
      <c r="D62" s="47"/>
      <c r="E62" s="47"/>
      <c r="F62" s="47"/>
      <c r="G62" s="47"/>
      <c r="H62" s="47"/>
      <c r="I62" s="47"/>
      <c r="J62" s="47"/>
      <c r="K62" s="48"/>
      <c r="L62" s="47"/>
      <c r="M62" s="48"/>
      <c r="N62" s="47"/>
    </row>
    <row r="63" spans="1:14">
      <c r="A63" s="3" t="s">
        <v>233</v>
      </c>
      <c r="B63" s="47"/>
      <c r="C63" s="47"/>
      <c r="D63" s="47"/>
      <c r="E63" s="47"/>
      <c r="F63" s="47"/>
      <c r="G63" s="47"/>
      <c r="H63" s="47"/>
      <c r="I63" s="47"/>
      <c r="J63" s="47"/>
      <c r="K63" s="48"/>
      <c r="L63" s="47"/>
      <c r="M63" s="48"/>
      <c r="N63" s="47"/>
    </row>
    <row r="64" spans="1:14">
      <c r="A64" s="3" t="s">
        <v>234</v>
      </c>
      <c r="B64" s="47"/>
      <c r="C64" s="47"/>
      <c r="D64" s="47"/>
      <c r="E64" s="47"/>
      <c r="F64" s="47"/>
      <c r="G64" s="47"/>
      <c r="H64" s="47"/>
      <c r="I64" s="47"/>
      <c r="J64" s="47"/>
      <c r="K64" s="48"/>
      <c r="L64" s="47"/>
      <c r="M64" s="48"/>
      <c r="N64" s="47"/>
    </row>
    <row r="65" spans="1:14">
      <c r="A65" s="3" t="s">
        <v>235</v>
      </c>
      <c r="B65" s="47"/>
      <c r="C65" s="47"/>
      <c r="D65" s="47"/>
      <c r="E65" s="47"/>
      <c r="F65" s="47"/>
      <c r="G65" s="47"/>
      <c r="H65" s="47"/>
      <c r="I65" s="47"/>
      <c r="J65" s="47"/>
      <c r="K65" s="48"/>
      <c r="L65" s="47"/>
      <c r="M65" s="48"/>
      <c r="N65" s="47"/>
    </row>
    <row r="66" spans="1:14">
      <c r="A66" s="3" t="s">
        <v>236</v>
      </c>
      <c r="B66" s="47"/>
      <c r="C66" s="47"/>
      <c r="D66" s="47"/>
      <c r="E66" s="47"/>
      <c r="F66" s="47"/>
      <c r="G66" s="47"/>
      <c r="H66" s="47"/>
      <c r="I66" s="47"/>
      <c r="J66" s="47"/>
      <c r="K66" s="48"/>
      <c r="L66" s="47"/>
      <c r="M66" s="48"/>
      <c r="N66" s="47"/>
    </row>
    <row r="67" spans="1:14">
      <c r="A67" s="3" t="s">
        <v>237</v>
      </c>
      <c r="B67" s="47"/>
      <c r="C67" s="47"/>
      <c r="D67" s="47"/>
      <c r="E67" s="47"/>
      <c r="F67" s="47"/>
      <c r="G67" s="47"/>
      <c r="H67" s="47"/>
      <c r="I67" s="47"/>
      <c r="J67" s="47"/>
      <c r="K67" s="48"/>
      <c r="L67" s="47"/>
      <c r="M67" s="48"/>
      <c r="N67" s="47"/>
    </row>
    <row r="68" spans="1:14">
      <c r="A68" s="3" t="s">
        <v>238</v>
      </c>
      <c r="B68" s="47"/>
      <c r="C68" s="47"/>
      <c r="D68" s="47"/>
      <c r="E68" s="47"/>
      <c r="F68" s="47"/>
      <c r="G68" s="47"/>
      <c r="H68" s="47"/>
      <c r="I68" s="47"/>
      <c r="J68" s="47"/>
      <c r="K68" s="48"/>
      <c r="L68" s="47"/>
      <c r="M68" s="48"/>
      <c r="N68" s="47"/>
    </row>
    <row r="69" spans="1:14">
      <c r="A69" s="3" t="s">
        <v>239</v>
      </c>
      <c r="B69" s="47"/>
      <c r="C69" s="47"/>
      <c r="D69" s="47"/>
      <c r="E69" s="47"/>
      <c r="F69" s="47"/>
      <c r="G69" s="47"/>
      <c r="H69" s="47"/>
      <c r="I69" s="47"/>
      <c r="J69" s="47"/>
      <c r="K69" s="48"/>
      <c r="L69" s="47"/>
      <c r="M69" s="48"/>
      <c r="N69" s="47"/>
    </row>
    <row r="70" spans="1:14">
      <c r="A70" s="3" t="s">
        <v>240</v>
      </c>
      <c r="B70" s="47"/>
      <c r="C70" s="47"/>
      <c r="D70" s="47"/>
      <c r="E70" s="47"/>
      <c r="F70" s="47"/>
      <c r="G70" s="47"/>
      <c r="H70" s="47"/>
      <c r="I70" s="47"/>
      <c r="J70" s="47"/>
      <c r="K70" s="48"/>
      <c r="L70" s="47"/>
      <c r="M70" s="48"/>
      <c r="N70" s="47"/>
    </row>
    <row r="71" spans="1:14">
      <c r="A71" s="3" t="s">
        <v>241</v>
      </c>
      <c r="B71" s="47"/>
      <c r="C71" s="47"/>
      <c r="D71" s="47"/>
      <c r="E71" s="47"/>
      <c r="F71" s="47"/>
      <c r="G71" s="47"/>
      <c r="H71" s="47"/>
      <c r="I71" s="47"/>
      <c r="J71" s="47"/>
      <c r="K71" s="48"/>
      <c r="L71" s="47"/>
      <c r="M71" s="48"/>
      <c r="N71" s="47"/>
    </row>
    <row r="72" spans="1:14">
      <c r="A72" s="3" t="s">
        <v>242</v>
      </c>
      <c r="B72" s="47"/>
      <c r="C72" s="47"/>
      <c r="D72" s="47"/>
      <c r="E72" s="47"/>
      <c r="F72" s="47"/>
      <c r="G72" s="47"/>
      <c r="H72" s="47"/>
      <c r="I72" s="47"/>
      <c r="J72" s="47"/>
      <c r="K72" s="48"/>
      <c r="L72" s="47"/>
      <c r="M72" s="48"/>
      <c r="N72" s="47"/>
    </row>
    <row r="73" spans="1:14">
      <c r="A73" s="3" t="s">
        <v>243</v>
      </c>
      <c r="B73" s="47"/>
      <c r="C73" s="47"/>
      <c r="D73" s="47"/>
      <c r="E73" s="47"/>
      <c r="F73" s="47"/>
      <c r="G73" s="47"/>
      <c r="H73" s="47"/>
      <c r="I73" s="47"/>
      <c r="J73" s="47"/>
      <c r="K73" s="48"/>
      <c r="L73" s="47"/>
      <c r="M73" s="48"/>
      <c r="N73" s="47"/>
    </row>
    <row r="74" spans="1:14">
      <c r="A74" s="3" t="s">
        <v>244</v>
      </c>
      <c r="B74" s="47"/>
      <c r="C74" s="47"/>
      <c r="D74" s="47"/>
      <c r="E74" s="47"/>
      <c r="F74" s="47"/>
      <c r="G74" s="47"/>
      <c r="H74" s="47"/>
      <c r="I74" s="47"/>
      <c r="J74" s="47"/>
      <c r="K74" s="48"/>
      <c r="L74" s="47"/>
      <c r="M74" s="48"/>
      <c r="N74" s="47"/>
    </row>
    <row r="75" spans="1:14">
      <c r="A75" s="3" t="s">
        <v>245</v>
      </c>
      <c r="B75" s="47"/>
      <c r="C75" s="47"/>
      <c r="D75" s="47"/>
      <c r="E75" s="47"/>
      <c r="F75" s="47"/>
      <c r="G75" s="47"/>
      <c r="H75" s="47"/>
      <c r="I75" s="47"/>
      <c r="J75" s="47"/>
      <c r="K75" s="48"/>
      <c r="L75" s="47"/>
      <c r="M75" s="48"/>
      <c r="N75" s="47"/>
    </row>
    <row r="76" spans="1:14">
      <c r="A76" s="3" t="s">
        <v>246</v>
      </c>
      <c r="B76" s="47"/>
      <c r="C76" s="47"/>
      <c r="D76" s="47"/>
      <c r="E76" s="47"/>
      <c r="F76" s="47"/>
      <c r="G76" s="47"/>
      <c r="H76" s="47"/>
      <c r="I76" s="47"/>
      <c r="J76" s="47"/>
      <c r="K76" s="48"/>
      <c r="L76" s="47"/>
      <c r="M76" s="48"/>
      <c r="N76" s="47"/>
    </row>
    <row r="77" spans="1:14">
      <c r="A77" s="3" t="s">
        <v>247</v>
      </c>
      <c r="B77" s="47"/>
      <c r="C77" s="47"/>
      <c r="D77" s="47"/>
      <c r="E77" s="47"/>
      <c r="F77" s="47"/>
      <c r="G77" s="47"/>
      <c r="H77" s="47"/>
      <c r="I77" s="47"/>
      <c r="J77" s="47"/>
      <c r="K77" s="48"/>
      <c r="L77" s="47"/>
      <c r="M77" s="48"/>
      <c r="N77" s="47"/>
    </row>
    <row r="78" spans="1:14">
      <c r="A78" s="3" t="s">
        <v>248</v>
      </c>
      <c r="B78" s="47"/>
      <c r="C78" s="47"/>
      <c r="D78" s="47"/>
      <c r="E78" s="47"/>
      <c r="F78" s="47"/>
      <c r="G78" s="47"/>
      <c r="H78" s="47"/>
      <c r="I78" s="47"/>
      <c r="J78" s="47"/>
      <c r="K78" s="48"/>
      <c r="L78" s="47"/>
      <c r="M78" s="48"/>
      <c r="N78" s="47"/>
    </row>
    <row r="79" spans="1:14">
      <c r="A79" s="3" t="s">
        <v>249</v>
      </c>
      <c r="B79" s="47"/>
      <c r="C79" s="47"/>
      <c r="D79" s="47"/>
      <c r="E79" s="47"/>
      <c r="F79" s="47"/>
      <c r="G79" s="47"/>
      <c r="H79" s="47"/>
      <c r="I79" s="47"/>
      <c r="J79" s="47"/>
      <c r="K79" s="48"/>
      <c r="L79" s="47"/>
      <c r="M79" s="48"/>
      <c r="N79" s="47"/>
    </row>
    <row r="80" spans="1:14">
      <c r="A80" s="3" t="s">
        <v>250</v>
      </c>
      <c r="B80" s="47"/>
      <c r="C80" s="47"/>
      <c r="D80" s="47"/>
      <c r="E80" s="47"/>
      <c r="F80" s="47"/>
      <c r="G80" s="47"/>
      <c r="H80" s="47"/>
      <c r="I80" s="47"/>
      <c r="J80" s="47"/>
      <c r="K80" s="48"/>
      <c r="L80" s="47"/>
      <c r="M80" s="48"/>
      <c r="N80" s="47"/>
    </row>
    <row r="81" spans="1:14">
      <c r="A81" s="3" t="s">
        <v>251</v>
      </c>
      <c r="B81" s="47"/>
      <c r="C81" s="47"/>
      <c r="D81" s="47"/>
      <c r="E81" s="47"/>
      <c r="F81" s="47"/>
      <c r="G81" s="47"/>
      <c r="H81" s="47"/>
      <c r="I81" s="47"/>
      <c r="J81" s="47"/>
      <c r="K81" s="48"/>
      <c r="L81" s="47"/>
      <c r="M81" s="48"/>
      <c r="N81" s="47"/>
    </row>
    <row r="82" spans="1:14">
      <c r="A82" s="3" t="s">
        <v>252</v>
      </c>
      <c r="B82" s="47"/>
      <c r="C82" s="47"/>
      <c r="D82" s="47"/>
      <c r="E82" s="47"/>
      <c r="F82" s="47"/>
      <c r="G82" s="47"/>
      <c r="H82" s="47"/>
      <c r="I82" s="47"/>
      <c r="J82" s="47"/>
      <c r="K82" s="48"/>
      <c r="L82" s="47"/>
      <c r="M82" s="48"/>
      <c r="N82" s="47"/>
    </row>
    <row r="83" spans="1:14">
      <c r="A83" s="3" t="s">
        <v>253</v>
      </c>
      <c r="B83" s="47"/>
      <c r="C83" s="47"/>
      <c r="D83" s="47"/>
      <c r="E83" s="47"/>
      <c r="F83" s="47"/>
      <c r="G83" s="47"/>
      <c r="H83" s="47"/>
      <c r="I83" s="47"/>
      <c r="J83" s="47"/>
      <c r="K83" s="48"/>
      <c r="L83" s="47"/>
      <c r="M83" s="48"/>
      <c r="N83" s="47"/>
    </row>
    <row r="84" spans="1:14">
      <c r="A84" s="3" t="s">
        <v>254</v>
      </c>
      <c r="B84" s="47"/>
      <c r="C84" s="47"/>
      <c r="D84" s="47"/>
      <c r="E84" s="47"/>
      <c r="F84" s="47"/>
      <c r="G84" s="47"/>
      <c r="H84" s="47"/>
      <c r="I84" s="47"/>
      <c r="J84" s="47"/>
      <c r="K84" s="48"/>
      <c r="L84" s="47"/>
      <c r="M84" s="48"/>
      <c r="N84" s="47"/>
    </row>
    <row r="85" spans="1:14">
      <c r="A85" s="3" t="s">
        <v>255</v>
      </c>
      <c r="B85" s="47"/>
      <c r="C85" s="47"/>
      <c r="D85" s="47"/>
      <c r="E85" s="47"/>
      <c r="F85" s="47"/>
      <c r="G85" s="47"/>
      <c r="H85" s="47"/>
      <c r="I85" s="47"/>
      <c r="J85" s="47"/>
      <c r="K85" s="48"/>
      <c r="L85" s="47"/>
      <c r="M85" s="48"/>
      <c r="N85" s="47"/>
    </row>
    <row r="86" spans="1:14">
      <c r="A86" s="3" t="s">
        <v>256</v>
      </c>
      <c r="B86" s="47"/>
      <c r="C86" s="47"/>
      <c r="D86" s="47"/>
      <c r="E86" s="47"/>
      <c r="F86" s="47"/>
      <c r="G86" s="47"/>
      <c r="H86" s="47"/>
      <c r="I86" s="47"/>
      <c r="J86" s="47"/>
      <c r="K86" s="48"/>
      <c r="L86" s="47"/>
      <c r="M86" s="48"/>
      <c r="N86" s="47"/>
    </row>
    <row r="87" spans="1:14">
      <c r="A87" s="3" t="s">
        <v>257</v>
      </c>
      <c r="B87" s="47"/>
      <c r="C87" s="47"/>
      <c r="D87" s="47"/>
      <c r="E87" s="47"/>
      <c r="F87" s="47"/>
      <c r="G87" s="47"/>
      <c r="H87" s="47"/>
      <c r="I87" s="47"/>
      <c r="J87" s="47"/>
      <c r="K87" s="48"/>
      <c r="L87" s="47"/>
      <c r="M87" s="48"/>
      <c r="N87" s="47"/>
    </row>
    <row r="88" spans="1:14">
      <c r="A88" s="3" t="s">
        <v>258</v>
      </c>
      <c r="B88" s="47"/>
      <c r="C88" s="47"/>
      <c r="D88" s="47"/>
      <c r="E88" s="47"/>
      <c r="F88" s="47"/>
      <c r="G88" s="47"/>
      <c r="H88" s="47"/>
      <c r="I88" s="47"/>
      <c r="J88" s="47"/>
      <c r="K88" s="48"/>
      <c r="L88" s="47"/>
      <c r="M88" s="48"/>
      <c r="N88" s="47"/>
    </row>
    <row r="89" spans="1:14">
      <c r="A89" s="3" t="s">
        <v>259</v>
      </c>
      <c r="B89" s="47"/>
      <c r="C89" s="47"/>
      <c r="D89" s="47"/>
      <c r="E89" s="47"/>
      <c r="F89" s="47"/>
      <c r="G89" s="47"/>
      <c r="H89" s="47"/>
      <c r="I89" s="47"/>
      <c r="J89" s="47"/>
      <c r="K89" s="48"/>
      <c r="L89" s="47"/>
      <c r="M89" s="48"/>
      <c r="N89" s="47"/>
    </row>
    <row r="90" spans="1:14">
      <c r="A90" s="3" t="s">
        <v>260</v>
      </c>
      <c r="B90" s="47"/>
      <c r="C90" s="47"/>
      <c r="D90" s="47"/>
      <c r="E90" s="47"/>
      <c r="F90" s="47"/>
      <c r="G90" s="47"/>
      <c r="H90" s="47"/>
      <c r="I90" s="47"/>
      <c r="J90" s="47"/>
      <c r="K90" s="48"/>
      <c r="L90" s="47"/>
      <c r="M90" s="48"/>
      <c r="N90" s="47"/>
    </row>
    <row r="91" spans="1:14">
      <c r="A91" s="3" t="s">
        <v>261</v>
      </c>
      <c r="B91" s="47"/>
      <c r="C91" s="47"/>
      <c r="D91" s="47"/>
      <c r="E91" s="47"/>
      <c r="F91" s="47"/>
      <c r="G91" s="47"/>
      <c r="H91" s="47"/>
      <c r="I91" s="47"/>
      <c r="J91" s="47"/>
      <c r="K91" s="48"/>
      <c r="L91" s="47"/>
      <c r="M91" s="48"/>
      <c r="N91" s="47"/>
    </row>
    <row r="92" spans="1:14">
      <c r="A92" s="3" t="s">
        <v>262</v>
      </c>
      <c r="B92" s="47"/>
      <c r="C92" s="47"/>
      <c r="D92" s="47"/>
      <c r="E92" s="47"/>
      <c r="F92" s="47"/>
      <c r="G92" s="47"/>
      <c r="H92" s="47"/>
      <c r="I92" s="47"/>
      <c r="J92" s="47"/>
      <c r="K92" s="48"/>
      <c r="L92" s="47"/>
      <c r="M92" s="48"/>
      <c r="N92" s="47"/>
    </row>
    <row r="93" spans="1:14">
      <c r="A93" s="3" t="s">
        <v>263</v>
      </c>
      <c r="B93" s="47"/>
      <c r="C93" s="47"/>
      <c r="D93" s="47"/>
      <c r="E93" s="47"/>
      <c r="F93" s="47"/>
      <c r="G93" s="47"/>
      <c r="H93" s="47"/>
      <c r="I93" s="47"/>
      <c r="J93" s="47"/>
      <c r="K93" s="48"/>
      <c r="L93" s="47"/>
      <c r="M93" s="48"/>
      <c r="N93" s="47"/>
    </row>
    <row r="94" spans="1:14">
      <c r="A94" s="3" t="s">
        <v>264</v>
      </c>
      <c r="B94" s="47"/>
      <c r="C94" s="47"/>
      <c r="D94" s="47"/>
      <c r="E94" s="47"/>
      <c r="F94" s="47"/>
      <c r="G94" s="47"/>
      <c r="H94" s="47"/>
      <c r="I94" s="47"/>
      <c r="J94" s="47"/>
      <c r="K94" s="48"/>
      <c r="L94" s="47"/>
      <c r="M94" s="48"/>
      <c r="N94" s="47"/>
    </row>
    <row r="95" spans="1:14">
      <c r="A95" s="3" t="s">
        <v>265</v>
      </c>
      <c r="B95" s="47"/>
      <c r="C95" s="47"/>
      <c r="D95" s="47"/>
      <c r="E95" s="47"/>
      <c r="F95" s="47"/>
      <c r="G95" s="47"/>
      <c r="H95" s="47"/>
      <c r="I95" s="47"/>
      <c r="J95" s="47"/>
      <c r="K95" s="48"/>
      <c r="L95" s="47"/>
      <c r="M95" s="48"/>
      <c r="N95" s="47"/>
    </row>
    <row r="96" spans="1:14">
      <c r="A96" s="3" t="s">
        <v>266</v>
      </c>
      <c r="B96" s="47"/>
      <c r="C96" s="47"/>
      <c r="D96" s="47"/>
      <c r="E96" s="47"/>
      <c r="F96" s="47"/>
      <c r="G96" s="47"/>
      <c r="H96" s="47"/>
      <c r="I96" s="47"/>
      <c r="J96" s="47"/>
      <c r="K96" s="48"/>
      <c r="L96" s="47"/>
      <c r="M96" s="48"/>
      <c r="N96" s="47"/>
    </row>
    <row r="97" spans="1:14">
      <c r="A97" s="3" t="s">
        <v>267</v>
      </c>
      <c r="B97" s="47"/>
      <c r="C97" s="47"/>
      <c r="D97" s="47"/>
      <c r="E97" s="47"/>
      <c r="F97" s="47"/>
      <c r="G97" s="47"/>
      <c r="H97" s="47"/>
      <c r="I97" s="47"/>
      <c r="J97" s="47"/>
      <c r="K97" s="48"/>
      <c r="L97" s="47"/>
      <c r="M97" s="48"/>
      <c r="N97" s="47"/>
    </row>
    <row r="98" spans="1:14">
      <c r="A98" s="3" t="s">
        <v>268</v>
      </c>
      <c r="B98" s="47"/>
      <c r="C98" s="47"/>
      <c r="D98" s="47"/>
      <c r="E98" s="47"/>
      <c r="F98" s="47"/>
      <c r="G98" s="47"/>
      <c r="H98" s="47"/>
      <c r="I98" s="47"/>
      <c r="J98" s="47"/>
      <c r="K98" s="48"/>
      <c r="L98" s="47"/>
      <c r="M98" s="48"/>
      <c r="N98" s="47"/>
    </row>
    <row r="99" spans="1:14">
      <c r="A99" s="3" t="s">
        <v>269</v>
      </c>
      <c r="B99" s="47"/>
      <c r="C99" s="47"/>
      <c r="D99" s="47"/>
      <c r="E99" s="47"/>
      <c r="F99" s="47"/>
      <c r="G99" s="47"/>
      <c r="H99" s="47"/>
      <c r="I99" s="47"/>
      <c r="J99" s="47"/>
      <c r="K99" s="48"/>
      <c r="L99" s="47"/>
      <c r="M99" s="48"/>
      <c r="N99" s="47"/>
    </row>
    <row r="100" spans="1:14">
      <c r="A100" s="3" t="s">
        <v>270</v>
      </c>
      <c r="B100" s="47"/>
      <c r="C100" s="47"/>
      <c r="D100" s="47"/>
      <c r="E100" s="47"/>
      <c r="F100" s="47"/>
      <c r="G100" s="47"/>
      <c r="H100" s="47"/>
      <c r="I100" s="47"/>
      <c r="J100" s="47"/>
      <c r="K100" s="48"/>
      <c r="L100" s="47"/>
      <c r="M100" s="48"/>
      <c r="N100" s="47"/>
    </row>
    <row r="101" spans="1:14">
      <c r="A101" s="3" t="s">
        <v>271</v>
      </c>
      <c r="B101" s="47"/>
      <c r="C101" s="47"/>
      <c r="D101" s="47"/>
      <c r="E101" s="47"/>
      <c r="F101" s="47"/>
      <c r="G101" s="47"/>
      <c r="H101" s="47"/>
      <c r="I101" s="47"/>
      <c r="J101" s="47"/>
      <c r="K101" s="48"/>
      <c r="L101" s="47"/>
      <c r="M101" s="48"/>
      <c r="N101" s="47"/>
    </row>
    <row r="102" spans="1:14" s="8" customFormat="1">
      <c r="A102" s="7"/>
    </row>
  </sheetData>
  <sheetProtection formatCells="0" formatColumns="0" formatRows="0"/>
  <protectedRanges>
    <protectedRange sqref="C2:N101" name="Middle" securityDescriptor="O:WDG:WDD:(A;;CC;;;S-1-5-21-2765415570-973575261-3607781193-1203)"/>
  </protectedRanges>
  <customSheetViews>
    <customSheetView guid="{7656BB3C-1299-4E61-A887-A5F4101AF2AB}" scale="80">
      <pane xSplit="1" ySplit="1" topLeftCell="C2" activePane="bottomRight" state="frozen"/>
      <selection pane="bottomRight" activeCell="N1" sqref="N1"/>
      <pageMargins left="0.25" right="0.25" top="0.75" bottom="0.75" header="0.3" footer="0.3"/>
    </customSheetView>
    <customSheetView guid="{DB3826DE-0319-4671-8564-0DA8C5492560}" scale="80">
      <pane xSplit="1" ySplit="1" topLeftCell="C2" activePane="bottomRight" state="frozen"/>
      <selection pane="bottomRight" activeCell="E45" sqref="E45"/>
      <pageMargins left="0.25" right="0.25" top="0.75" bottom="0.75" header="0.3" footer="0.3"/>
      <pageSetup orientation="portrait" horizontalDpi="4294967295" verticalDpi="4294967295" r:id="rId1"/>
    </customSheetView>
  </customSheetViews>
  <dataValidations count="3">
    <dataValidation type="list" allowBlank="1" showInputMessage="1" showErrorMessage="1" sqref="L2:L101">
      <formula1>Returned</formula1>
    </dataValidation>
    <dataValidation type="list" allowBlank="1" showInputMessage="1" showErrorMessage="1" sqref="J2:J101">
      <formula1>BorrowPeriod</formula1>
    </dataValidation>
    <dataValidation type="list" allowBlank="1" showInputMessage="1" showErrorMessage="1" sqref="G2:G101">
      <formula1>ItemType</formula1>
    </dataValidation>
  </dataValidations>
  <pageMargins left="0.25" right="0.25" top="0.75" bottom="0.75" header="0.3" footer="0.3"/>
  <pageSetup orientation="portrait" horizontalDpi="4294967295" verticalDpi="4294967295"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4"/>
  </sheetPr>
  <dimension ref="A1:N102"/>
  <sheetViews>
    <sheetView zoomScale="80" zoomScaleNormal="80" zoomScalePageLayoutView="80" workbookViewId="0">
      <pane xSplit="1" ySplit="1" topLeftCell="C2" activePane="bottomRight" state="frozen"/>
      <selection activeCell="E45" sqref="E45"/>
      <selection pane="topRight" activeCell="E45" sqref="E45"/>
      <selection pane="bottomLeft" activeCell="E45" sqref="E45"/>
      <selection pane="bottomRight" activeCell="E45" sqref="E45"/>
    </sheetView>
  </sheetViews>
  <sheetFormatPr defaultColWidth="11" defaultRowHeight="15.75"/>
  <cols>
    <col min="1" max="1" width="6.125" style="3" customWidth="1"/>
    <col min="2" max="2" width="10.125" customWidth="1"/>
    <col min="3" max="4" width="14.375" customWidth="1"/>
    <col min="5" max="5" width="14.5" customWidth="1"/>
    <col min="6" max="6" width="14" customWidth="1"/>
    <col min="8" max="8" width="29" customWidth="1"/>
    <col min="9" max="9" width="17" customWidth="1"/>
    <col min="10" max="10" width="8.875" customWidth="1"/>
    <col min="11" max="11" width="9" bestFit="1" customWidth="1"/>
    <col min="13" max="13" width="21.375" customWidth="1"/>
  </cols>
  <sheetData>
    <row r="1" spans="1:14" s="6" customFormat="1" ht="31.5">
      <c r="A1" s="5" t="s">
        <v>115</v>
      </c>
      <c r="B1" s="5" t="s">
        <v>0</v>
      </c>
      <c r="C1" s="5" t="s">
        <v>116</v>
      </c>
      <c r="D1" s="5" t="s">
        <v>117</v>
      </c>
      <c r="E1" s="5" t="s">
        <v>118</v>
      </c>
      <c r="F1" s="5" t="s">
        <v>134</v>
      </c>
      <c r="G1" s="5" t="s">
        <v>1</v>
      </c>
      <c r="H1" s="5" t="s">
        <v>119</v>
      </c>
      <c r="I1" s="5" t="s">
        <v>120</v>
      </c>
      <c r="J1" s="5" t="s">
        <v>2</v>
      </c>
      <c r="K1" s="5" t="s">
        <v>121</v>
      </c>
      <c r="L1" s="5" t="s">
        <v>122</v>
      </c>
      <c r="M1" s="5" t="s">
        <v>131</v>
      </c>
      <c r="N1" s="5" t="s">
        <v>372</v>
      </c>
    </row>
    <row r="2" spans="1:14">
      <c r="A2" s="3" t="s">
        <v>272</v>
      </c>
      <c r="B2" s="47"/>
      <c r="C2" s="47"/>
      <c r="D2" s="47"/>
      <c r="E2" s="47"/>
      <c r="F2" s="47"/>
      <c r="G2" s="47"/>
      <c r="H2" s="47"/>
      <c r="I2" s="47"/>
      <c r="J2" s="47"/>
      <c r="K2" s="48"/>
      <c r="L2" s="47"/>
      <c r="M2" s="48"/>
      <c r="N2" s="47"/>
    </row>
    <row r="3" spans="1:14">
      <c r="A3" s="3" t="s">
        <v>273</v>
      </c>
      <c r="B3" s="47"/>
      <c r="C3" s="47"/>
      <c r="D3" s="47"/>
      <c r="E3" s="47"/>
      <c r="F3" s="47"/>
      <c r="G3" s="47"/>
      <c r="H3" s="47"/>
      <c r="I3" s="47"/>
      <c r="J3" s="47"/>
      <c r="K3" s="48"/>
      <c r="L3" s="47"/>
      <c r="M3" s="48"/>
      <c r="N3" s="47"/>
    </row>
    <row r="4" spans="1:14">
      <c r="A4" s="3" t="s">
        <v>274</v>
      </c>
      <c r="B4" s="47"/>
      <c r="C4" s="47"/>
      <c r="D4" s="47"/>
      <c r="E4" s="47"/>
      <c r="F4" s="47"/>
      <c r="G4" s="47"/>
      <c r="H4" s="47"/>
      <c r="I4" s="47"/>
      <c r="J4" s="47"/>
      <c r="K4" s="48"/>
      <c r="L4" s="47"/>
      <c r="M4" s="48"/>
      <c r="N4" s="47"/>
    </row>
    <row r="5" spans="1:14">
      <c r="A5" s="3" t="s">
        <v>275</v>
      </c>
      <c r="B5" s="47"/>
      <c r="C5" s="47"/>
      <c r="D5" s="47"/>
      <c r="E5" s="47"/>
      <c r="F5" s="47"/>
      <c r="G5" s="47"/>
      <c r="H5" s="47"/>
      <c r="I5" s="47"/>
      <c r="J5" s="47"/>
      <c r="K5" s="48"/>
      <c r="L5" s="47"/>
      <c r="M5" s="48"/>
      <c r="N5" s="47"/>
    </row>
    <row r="6" spans="1:14">
      <c r="A6" s="3" t="s">
        <v>276</v>
      </c>
      <c r="B6" s="47"/>
      <c r="C6" s="47"/>
      <c r="D6" s="47"/>
      <c r="E6" s="47"/>
      <c r="F6" s="47"/>
      <c r="G6" s="47"/>
      <c r="H6" s="47"/>
      <c r="I6" s="47"/>
      <c r="J6" s="47"/>
      <c r="K6" s="48"/>
      <c r="L6" s="47"/>
      <c r="M6" s="48"/>
      <c r="N6" s="47"/>
    </row>
    <row r="7" spans="1:14">
      <c r="A7" s="3" t="s">
        <v>277</v>
      </c>
      <c r="B7" s="47"/>
      <c r="C7" s="47"/>
      <c r="D7" s="47"/>
      <c r="E7" s="47"/>
      <c r="F7" s="47"/>
      <c r="G7" s="47"/>
      <c r="H7" s="47"/>
      <c r="I7" s="47"/>
      <c r="J7" s="47"/>
      <c r="K7" s="48"/>
      <c r="L7" s="47"/>
      <c r="M7" s="48"/>
      <c r="N7" s="47"/>
    </row>
    <row r="8" spans="1:14">
      <c r="A8" s="3" t="s">
        <v>278</v>
      </c>
      <c r="B8" s="47"/>
      <c r="C8" s="47"/>
      <c r="D8" s="47"/>
      <c r="E8" s="47"/>
      <c r="F8" s="47"/>
      <c r="G8" s="47"/>
      <c r="H8" s="47"/>
      <c r="I8" s="47"/>
      <c r="J8" s="47"/>
      <c r="K8" s="48"/>
      <c r="L8" s="47"/>
      <c r="M8" s="48"/>
      <c r="N8" s="47"/>
    </row>
    <row r="9" spans="1:14">
      <c r="A9" s="3" t="s">
        <v>279</v>
      </c>
      <c r="B9" s="47"/>
      <c r="C9" s="47"/>
      <c r="D9" s="47"/>
      <c r="E9" s="47"/>
      <c r="F9" s="47"/>
      <c r="G9" s="47"/>
      <c r="H9" s="47"/>
      <c r="I9" s="47"/>
      <c r="J9" s="47"/>
      <c r="K9" s="48"/>
      <c r="L9" s="47"/>
      <c r="M9" s="48"/>
      <c r="N9" s="47"/>
    </row>
    <row r="10" spans="1:14">
      <c r="A10" s="3" t="s">
        <v>280</v>
      </c>
      <c r="B10" s="47"/>
      <c r="C10" s="47"/>
      <c r="D10" s="47"/>
      <c r="E10" s="47"/>
      <c r="F10" s="47"/>
      <c r="G10" s="47"/>
      <c r="H10" s="47"/>
      <c r="I10" s="47"/>
      <c r="J10" s="47"/>
      <c r="K10" s="48"/>
      <c r="L10" s="47"/>
      <c r="M10" s="48"/>
      <c r="N10" s="47"/>
    </row>
    <row r="11" spans="1:14">
      <c r="A11" s="3" t="s">
        <v>281</v>
      </c>
      <c r="B11" s="47"/>
      <c r="C11" s="47"/>
      <c r="D11" s="47"/>
      <c r="E11" s="47"/>
      <c r="F11" s="47"/>
      <c r="G11" s="47"/>
      <c r="H11" s="47"/>
      <c r="I11" s="47"/>
      <c r="J11" s="47"/>
      <c r="K11" s="48"/>
      <c r="L11" s="47"/>
      <c r="M11" s="48"/>
      <c r="N11" s="47"/>
    </row>
    <row r="12" spans="1:14">
      <c r="A12" s="3" t="s">
        <v>282</v>
      </c>
      <c r="B12" s="47"/>
      <c r="C12" s="47"/>
      <c r="D12" s="47"/>
      <c r="E12" s="47"/>
      <c r="F12" s="47"/>
      <c r="G12" s="47"/>
      <c r="H12" s="47"/>
      <c r="I12" s="47"/>
      <c r="J12" s="47"/>
      <c r="K12" s="48"/>
      <c r="L12" s="47"/>
      <c r="M12" s="48"/>
      <c r="N12" s="47"/>
    </row>
    <row r="13" spans="1:14">
      <c r="A13" s="3" t="s">
        <v>283</v>
      </c>
      <c r="B13" s="47"/>
      <c r="C13" s="47"/>
      <c r="D13" s="47"/>
      <c r="E13" s="47"/>
      <c r="F13" s="47"/>
      <c r="G13" s="47"/>
      <c r="H13" s="47"/>
      <c r="I13" s="47"/>
      <c r="J13" s="47"/>
      <c r="K13" s="48"/>
      <c r="L13" s="47"/>
      <c r="M13" s="48"/>
      <c r="N13" s="47"/>
    </row>
    <row r="14" spans="1:14">
      <c r="A14" s="3" t="s">
        <v>284</v>
      </c>
      <c r="B14" s="47"/>
      <c r="C14" s="47"/>
      <c r="D14" s="47"/>
      <c r="E14" s="47"/>
      <c r="F14" s="47"/>
      <c r="G14" s="47"/>
      <c r="H14" s="47"/>
      <c r="I14" s="47"/>
      <c r="J14" s="47"/>
      <c r="K14" s="48"/>
      <c r="L14" s="47"/>
      <c r="M14" s="48"/>
      <c r="N14" s="47"/>
    </row>
    <row r="15" spans="1:14">
      <c r="A15" s="3" t="s">
        <v>285</v>
      </c>
      <c r="B15" s="47"/>
      <c r="C15" s="47"/>
      <c r="D15" s="47"/>
      <c r="E15" s="47"/>
      <c r="F15" s="47"/>
      <c r="G15" s="47"/>
      <c r="H15" s="47"/>
      <c r="I15" s="47"/>
      <c r="J15" s="47"/>
      <c r="K15" s="48"/>
      <c r="L15" s="47"/>
      <c r="M15" s="48"/>
      <c r="N15" s="47"/>
    </row>
    <row r="16" spans="1:14">
      <c r="A16" s="3" t="s">
        <v>286</v>
      </c>
      <c r="B16" s="47"/>
      <c r="C16" s="47"/>
      <c r="D16" s="47"/>
      <c r="E16" s="47"/>
      <c r="F16" s="47"/>
      <c r="G16" s="47"/>
      <c r="H16" s="47"/>
      <c r="I16" s="47"/>
      <c r="J16" s="47"/>
      <c r="K16" s="48"/>
      <c r="L16" s="47"/>
      <c r="M16" s="48"/>
      <c r="N16" s="47"/>
    </row>
    <row r="17" spans="1:14">
      <c r="A17" s="3" t="s">
        <v>287</v>
      </c>
      <c r="B17" s="47"/>
      <c r="C17" s="47"/>
      <c r="D17" s="47"/>
      <c r="E17" s="47"/>
      <c r="F17" s="47"/>
      <c r="G17" s="47"/>
      <c r="H17" s="47"/>
      <c r="I17" s="47"/>
      <c r="J17" s="47"/>
      <c r="K17" s="48"/>
      <c r="L17" s="47"/>
      <c r="M17" s="48"/>
      <c r="N17" s="47"/>
    </row>
    <row r="18" spans="1:14">
      <c r="A18" s="3" t="s">
        <v>288</v>
      </c>
      <c r="B18" s="47"/>
      <c r="C18" s="47"/>
      <c r="D18" s="47"/>
      <c r="E18" s="47"/>
      <c r="F18" s="47"/>
      <c r="G18" s="47"/>
      <c r="H18" s="47"/>
      <c r="I18" s="47"/>
      <c r="J18" s="47"/>
      <c r="K18" s="48"/>
      <c r="L18" s="47"/>
      <c r="M18" s="48"/>
      <c r="N18" s="47"/>
    </row>
    <row r="19" spans="1:14">
      <c r="A19" s="3" t="s">
        <v>289</v>
      </c>
      <c r="B19" s="47"/>
      <c r="C19" s="47"/>
      <c r="D19" s="47"/>
      <c r="E19" s="47"/>
      <c r="F19" s="47"/>
      <c r="G19" s="47"/>
      <c r="H19" s="47"/>
      <c r="I19" s="47"/>
      <c r="J19" s="47"/>
      <c r="K19" s="48"/>
      <c r="L19" s="47"/>
      <c r="M19" s="48"/>
      <c r="N19" s="47"/>
    </row>
    <row r="20" spans="1:14">
      <c r="A20" s="3" t="s">
        <v>290</v>
      </c>
      <c r="B20" s="47"/>
      <c r="C20" s="47"/>
      <c r="D20" s="47"/>
      <c r="E20" s="47"/>
      <c r="F20" s="47"/>
      <c r="G20" s="47"/>
      <c r="H20" s="47"/>
      <c r="I20" s="47"/>
      <c r="J20" s="47"/>
      <c r="K20" s="48"/>
      <c r="L20" s="47"/>
      <c r="M20" s="48"/>
      <c r="N20" s="47"/>
    </row>
    <row r="21" spans="1:14">
      <c r="A21" s="3" t="s">
        <v>291</v>
      </c>
      <c r="B21" s="47"/>
      <c r="C21" s="47"/>
      <c r="D21" s="47"/>
      <c r="E21" s="47"/>
      <c r="F21" s="47"/>
      <c r="G21" s="47"/>
      <c r="H21" s="47"/>
      <c r="I21" s="47"/>
      <c r="J21" s="47"/>
      <c r="K21" s="48"/>
      <c r="L21" s="47"/>
      <c r="M21" s="48"/>
      <c r="N21" s="47"/>
    </row>
    <row r="22" spans="1:14">
      <c r="A22" s="3" t="s">
        <v>292</v>
      </c>
      <c r="B22" s="47"/>
      <c r="C22" s="47"/>
      <c r="D22" s="47"/>
      <c r="E22" s="47"/>
      <c r="F22" s="47"/>
      <c r="G22" s="47"/>
      <c r="H22" s="47"/>
      <c r="I22" s="47"/>
      <c r="J22" s="47"/>
      <c r="K22" s="48"/>
      <c r="L22" s="47"/>
      <c r="M22" s="48"/>
      <c r="N22" s="47"/>
    </row>
    <row r="23" spans="1:14">
      <c r="A23" s="3" t="s">
        <v>293</v>
      </c>
      <c r="B23" s="47"/>
      <c r="C23" s="47"/>
      <c r="D23" s="47"/>
      <c r="E23" s="47"/>
      <c r="F23" s="47"/>
      <c r="G23" s="47"/>
      <c r="H23" s="47"/>
      <c r="I23" s="47"/>
      <c r="J23" s="47"/>
      <c r="K23" s="48"/>
      <c r="L23" s="47"/>
      <c r="M23" s="48"/>
      <c r="N23" s="47"/>
    </row>
    <row r="24" spans="1:14">
      <c r="A24" s="3" t="s">
        <v>294</v>
      </c>
      <c r="B24" s="47"/>
      <c r="C24" s="47"/>
      <c r="D24" s="47"/>
      <c r="E24" s="47"/>
      <c r="F24" s="47"/>
      <c r="G24" s="47"/>
      <c r="H24" s="47"/>
      <c r="I24" s="47"/>
      <c r="J24" s="47"/>
      <c r="K24" s="48"/>
      <c r="L24" s="47"/>
      <c r="M24" s="48"/>
      <c r="N24" s="47"/>
    </row>
    <row r="25" spans="1:14">
      <c r="A25" s="3" t="s">
        <v>295</v>
      </c>
      <c r="B25" s="47"/>
      <c r="C25" s="47"/>
      <c r="D25" s="47"/>
      <c r="E25" s="47"/>
      <c r="F25" s="47"/>
      <c r="G25" s="47"/>
      <c r="H25" s="47"/>
      <c r="I25" s="47"/>
      <c r="J25" s="47"/>
      <c r="K25" s="48"/>
      <c r="L25" s="47"/>
      <c r="M25" s="48"/>
      <c r="N25" s="47"/>
    </row>
    <row r="26" spans="1:14">
      <c r="A26" s="3" t="s">
        <v>296</v>
      </c>
      <c r="B26" s="47"/>
      <c r="C26" s="47"/>
      <c r="D26" s="47"/>
      <c r="E26" s="47"/>
      <c r="F26" s="47"/>
      <c r="G26" s="47"/>
      <c r="H26" s="47"/>
      <c r="I26" s="47"/>
      <c r="J26" s="47"/>
      <c r="K26" s="48"/>
      <c r="L26" s="47"/>
      <c r="M26" s="48"/>
      <c r="N26" s="47"/>
    </row>
    <row r="27" spans="1:14">
      <c r="A27" s="3" t="s">
        <v>297</v>
      </c>
      <c r="B27" s="47"/>
      <c r="C27" s="47"/>
      <c r="D27" s="47"/>
      <c r="E27" s="47"/>
      <c r="F27" s="47"/>
      <c r="G27" s="47"/>
      <c r="H27" s="47"/>
      <c r="I27" s="47"/>
      <c r="J27" s="47"/>
      <c r="K27" s="48"/>
      <c r="L27" s="47"/>
      <c r="M27" s="48"/>
      <c r="N27" s="47"/>
    </row>
    <row r="28" spans="1:14">
      <c r="A28" s="3" t="s">
        <v>298</v>
      </c>
      <c r="B28" s="47"/>
      <c r="C28" s="47"/>
      <c r="D28" s="47"/>
      <c r="E28" s="47"/>
      <c r="F28" s="47"/>
      <c r="G28" s="47"/>
      <c r="H28" s="47"/>
      <c r="I28" s="47"/>
      <c r="J28" s="47"/>
      <c r="K28" s="48"/>
      <c r="L28" s="47"/>
      <c r="M28" s="48"/>
      <c r="N28" s="47"/>
    </row>
    <row r="29" spans="1:14">
      <c r="A29" s="3" t="s">
        <v>299</v>
      </c>
      <c r="B29" s="47"/>
      <c r="C29" s="47"/>
      <c r="D29" s="47"/>
      <c r="E29" s="47"/>
      <c r="F29" s="47"/>
      <c r="G29" s="47"/>
      <c r="H29" s="47"/>
      <c r="I29" s="47"/>
      <c r="J29" s="47"/>
      <c r="K29" s="48"/>
      <c r="L29" s="47"/>
      <c r="M29" s="48"/>
      <c r="N29" s="47"/>
    </row>
    <row r="30" spans="1:14">
      <c r="A30" s="3" t="s">
        <v>300</v>
      </c>
      <c r="B30" s="47"/>
      <c r="C30" s="47"/>
      <c r="D30" s="47"/>
      <c r="E30" s="47"/>
      <c r="F30" s="47"/>
      <c r="G30" s="47"/>
      <c r="H30" s="47"/>
      <c r="I30" s="47"/>
      <c r="J30" s="47"/>
      <c r="K30" s="48"/>
      <c r="L30" s="47"/>
      <c r="M30" s="48"/>
      <c r="N30" s="47"/>
    </row>
    <row r="31" spans="1:14">
      <c r="A31" s="3" t="s">
        <v>301</v>
      </c>
      <c r="B31" s="47"/>
      <c r="C31" s="47"/>
      <c r="D31" s="47"/>
      <c r="E31" s="47"/>
      <c r="F31" s="47"/>
      <c r="G31" s="47"/>
      <c r="H31" s="47"/>
      <c r="I31" s="47"/>
      <c r="J31" s="47"/>
      <c r="K31" s="48"/>
      <c r="L31" s="47"/>
      <c r="M31" s="48"/>
      <c r="N31" s="47"/>
    </row>
    <row r="32" spans="1:14">
      <c r="A32" s="3" t="s">
        <v>302</v>
      </c>
      <c r="B32" s="47"/>
      <c r="C32" s="47"/>
      <c r="D32" s="47"/>
      <c r="E32" s="47"/>
      <c r="F32" s="47"/>
      <c r="G32" s="47"/>
      <c r="H32" s="47"/>
      <c r="I32" s="47"/>
      <c r="J32" s="47"/>
      <c r="K32" s="48"/>
      <c r="L32" s="47"/>
      <c r="M32" s="48"/>
      <c r="N32" s="47"/>
    </row>
    <row r="33" spans="1:14">
      <c r="A33" s="3" t="s">
        <v>303</v>
      </c>
      <c r="B33" s="47"/>
      <c r="C33" s="47"/>
      <c r="D33" s="47"/>
      <c r="E33" s="47"/>
      <c r="F33" s="47"/>
      <c r="G33" s="47"/>
      <c r="H33" s="47"/>
      <c r="I33" s="47"/>
      <c r="J33" s="47"/>
      <c r="K33" s="48"/>
      <c r="L33" s="47"/>
      <c r="M33" s="48"/>
      <c r="N33" s="47"/>
    </row>
    <row r="34" spans="1:14">
      <c r="A34" s="3" t="s">
        <v>304</v>
      </c>
      <c r="B34" s="47"/>
      <c r="C34" s="47"/>
      <c r="D34" s="47"/>
      <c r="E34" s="47"/>
      <c r="F34" s="47"/>
      <c r="G34" s="47"/>
      <c r="H34" s="47"/>
      <c r="I34" s="47"/>
      <c r="J34" s="47"/>
      <c r="K34" s="48"/>
      <c r="L34" s="47"/>
      <c r="M34" s="48"/>
      <c r="N34" s="47"/>
    </row>
    <row r="35" spans="1:14">
      <c r="A35" s="3" t="s">
        <v>305</v>
      </c>
      <c r="B35" s="47"/>
      <c r="C35" s="47"/>
      <c r="D35" s="47"/>
      <c r="E35" s="47"/>
      <c r="F35" s="47"/>
      <c r="G35" s="47"/>
      <c r="H35" s="47"/>
      <c r="I35" s="47"/>
      <c r="J35" s="47"/>
      <c r="K35" s="48"/>
      <c r="L35" s="47"/>
      <c r="M35" s="48"/>
      <c r="N35" s="47"/>
    </row>
    <row r="36" spans="1:14">
      <c r="A36" s="3" t="s">
        <v>306</v>
      </c>
      <c r="B36" s="47"/>
      <c r="C36" s="47"/>
      <c r="D36" s="47"/>
      <c r="E36" s="47"/>
      <c r="F36" s="47"/>
      <c r="G36" s="47"/>
      <c r="H36" s="47"/>
      <c r="I36" s="47"/>
      <c r="J36" s="47"/>
      <c r="K36" s="48"/>
      <c r="L36" s="47"/>
      <c r="M36" s="48"/>
      <c r="N36" s="47"/>
    </row>
    <row r="37" spans="1:14">
      <c r="A37" s="3" t="s">
        <v>307</v>
      </c>
      <c r="B37" s="47"/>
      <c r="C37" s="47"/>
      <c r="D37" s="47"/>
      <c r="E37" s="47"/>
      <c r="F37" s="47"/>
      <c r="G37" s="47"/>
      <c r="H37" s="47"/>
      <c r="I37" s="47"/>
      <c r="J37" s="47"/>
      <c r="K37" s="48"/>
      <c r="L37" s="47"/>
      <c r="M37" s="48"/>
      <c r="N37" s="47"/>
    </row>
    <row r="38" spans="1:14">
      <c r="A38" s="3" t="s">
        <v>308</v>
      </c>
      <c r="B38" s="47"/>
      <c r="C38" s="47"/>
      <c r="D38" s="47"/>
      <c r="E38" s="47"/>
      <c r="F38" s="47"/>
      <c r="G38" s="47"/>
      <c r="H38" s="47"/>
      <c r="I38" s="47"/>
      <c r="J38" s="47"/>
      <c r="K38" s="48"/>
      <c r="L38" s="47"/>
      <c r="M38" s="48"/>
      <c r="N38" s="47"/>
    </row>
    <row r="39" spans="1:14">
      <c r="A39" s="3" t="s">
        <v>309</v>
      </c>
      <c r="B39" s="47"/>
      <c r="C39" s="47"/>
      <c r="D39" s="47"/>
      <c r="E39" s="47"/>
      <c r="F39" s="47"/>
      <c r="G39" s="47"/>
      <c r="H39" s="47"/>
      <c r="I39" s="47"/>
      <c r="J39" s="47"/>
      <c r="K39" s="48"/>
      <c r="L39" s="47"/>
      <c r="M39" s="48"/>
      <c r="N39" s="47"/>
    </row>
    <row r="40" spans="1:14">
      <c r="A40" s="3" t="s">
        <v>310</v>
      </c>
      <c r="B40" s="47"/>
      <c r="C40" s="47"/>
      <c r="D40" s="47"/>
      <c r="E40" s="47"/>
      <c r="F40" s="47"/>
      <c r="G40" s="47"/>
      <c r="H40" s="47"/>
      <c r="I40" s="47"/>
      <c r="J40" s="47"/>
      <c r="K40" s="48"/>
      <c r="L40" s="47"/>
      <c r="M40" s="48"/>
      <c r="N40" s="47"/>
    </row>
    <row r="41" spans="1:14">
      <c r="A41" s="3" t="s">
        <v>311</v>
      </c>
      <c r="B41" s="47"/>
      <c r="C41" s="47"/>
      <c r="D41" s="47"/>
      <c r="E41" s="47"/>
      <c r="F41" s="47"/>
      <c r="G41" s="47"/>
      <c r="H41" s="47"/>
      <c r="I41" s="47"/>
      <c r="J41" s="47"/>
      <c r="K41" s="48"/>
      <c r="L41" s="47"/>
      <c r="M41" s="48"/>
      <c r="N41" s="47"/>
    </row>
    <row r="42" spans="1:14">
      <c r="A42" s="3" t="s">
        <v>312</v>
      </c>
      <c r="B42" s="47"/>
      <c r="C42" s="47"/>
      <c r="D42" s="47"/>
      <c r="E42" s="47"/>
      <c r="F42" s="47"/>
      <c r="G42" s="47"/>
      <c r="H42" s="47"/>
      <c r="I42" s="47"/>
      <c r="J42" s="47"/>
      <c r="K42" s="48"/>
      <c r="L42" s="47"/>
      <c r="M42" s="48"/>
      <c r="N42" s="47"/>
    </row>
    <row r="43" spans="1:14">
      <c r="A43" s="3" t="s">
        <v>313</v>
      </c>
      <c r="B43" s="47"/>
      <c r="C43" s="47"/>
      <c r="D43" s="47"/>
      <c r="E43" s="47"/>
      <c r="F43" s="47"/>
      <c r="G43" s="47"/>
      <c r="H43" s="47"/>
      <c r="I43" s="47"/>
      <c r="J43" s="47"/>
      <c r="K43" s="48"/>
      <c r="L43" s="47"/>
      <c r="M43" s="48"/>
      <c r="N43" s="47"/>
    </row>
    <row r="44" spans="1:14">
      <c r="A44" s="3" t="s">
        <v>314</v>
      </c>
      <c r="B44" s="47"/>
      <c r="C44" s="47"/>
      <c r="D44" s="47"/>
      <c r="E44" s="47"/>
      <c r="F44" s="47"/>
      <c r="G44" s="47"/>
      <c r="H44" s="47"/>
      <c r="I44" s="47"/>
      <c r="J44" s="47"/>
      <c r="K44" s="48"/>
      <c r="L44" s="47"/>
      <c r="M44" s="48"/>
      <c r="N44" s="47"/>
    </row>
    <row r="45" spans="1:14">
      <c r="A45" s="3" t="s">
        <v>315</v>
      </c>
      <c r="B45" s="47"/>
      <c r="C45" s="47"/>
      <c r="D45" s="47"/>
      <c r="E45" s="47"/>
      <c r="F45" s="47"/>
      <c r="G45" s="47"/>
      <c r="H45" s="47"/>
      <c r="I45" s="47"/>
      <c r="J45" s="47"/>
      <c r="K45" s="48"/>
      <c r="L45" s="47"/>
      <c r="M45" s="48"/>
      <c r="N45" s="47"/>
    </row>
    <row r="46" spans="1:14">
      <c r="A46" s="3" t="s">
        <v>316</v>
      </c>
      <c r="B46" s="47"/>
      <c r="C46" s="47"/>
      <c r="D46" s="47"/>
      <c r="E46" s="47"/>
      <c r="F46" s="47"/>
      <c r="G46" s="47"/>
      <c r="H46" s="47"/>
      <c r="I46" s="47"/>
      <c r="J46" s="47"/>
      <c r="K46" s="48"/>
      <c r="L46" s="47"/>
      <c r="M46" s="48"/>
      <c r="N46" s="47"/>
    </row>
    <row r="47" spans="1:14">
      <c r="A47" s="3" t="s">
        <v>317</v>
      </c>
      <c r="B47" s="47"/>
      <c r="C47" s="47"/>
      <c r="D47" s="47"/>
      <c r="E47" s="47"/>
      <c r="F47" s="47"/>
      <c r="G47" s="47"/>
      <c r="H47" s="47"/>
      <c r="I47" s="47"/>
      <c r="J47" s="47"/>
      <c r="K47" s="48"/>
      <c r="L47" s="47"/>
      <c r="M47" s="48"/>
      <c r="N47" s="47"/>
    </row>
    <row r="48" spans="1:14">
      <c r="A48" s="3" t="s">
        <v>318</v>
      </c>
      <c r="B48" s="47"/>
      <c r="C48" s="47"/>
      <c r="D48" s="47"/>
      <c r="E48" s="47"/>
      <c r="F48" s="47"/>
      <c r="G48" s="47"/>
      <c r="H48" s="47"/>
      <c r="I48" s="47"/>
      <c r="J48" s="47"/>
      <c r="K48" s="48"/>
      <c r="L48" s="47"/>
      <c r="M48" s="48"/>
      <c r="N48" s="47"/>
    </row>
    <row r="49" spans="1:14">
      <c r="A49" s="3" t="s">
        <v>319</v>
      </c>
      <c r="B49" s="47"/>
      <c r="C49" s="47"/>
      <c r="D49" s="47"/>
      <c r="E49" s="47"/>
      <c r="F49" s="47"/>
      <c r="G49" s="47"/>
      <c r="H49" s="47"/>
      <c r="I49" s="47"/>
      <c r="J49" s="47"/>
      <c r="K49" s="48"/>
      <c r="L49" s="47"/>
      <c r="M49" s="48"/>
      <c r="N49" s="47"/>
    </row>
    <row r="50" spans="1:14">
      <c r="A50" s="3" t="s">
        <v>320</v>
      </c>
      <c r="B50" s="47"/>
      <c r="C50" s="47"/>
      <c r="D50" s="47"/>
      <c r="E50" s="47"/>
      <c r="F50" s="47"/>
      <c r="G50" s="47"/>
      <c r="H50" s="47"/>
      <c r="I50" s="47"/>
      <c r="J50" s="47"/>
      <c r="K50" s="48"/>
      <c r="L50" s="47"/>
      <c r="M50" s="48"/>
      <c r="N50" s="47"/>
    </row>
    <row r="51" spans="1:14">
      <c r="A51" s="3" t="s">
        <v>321</v>
      </c>
      <c r="B51" s="47"/>
      <c r="C51" s="47"/>
      <c r="D51" s="47"/>
      <c r="E51" s="47"/>
      <c r="F51" s="47"/>
      <c r="G51" s="47"/>
      <c r="H51" s="47"/>
      <c r="I51" s="47"/>
      <c r="J51" s="47"/>
      <c r="K51" s="48"/>
      <c r="L51" s="47"/>
      <c r="M51" s="48"/>
      <c r="N51" s="47"/>
    </row>
    <row r="52" spans="1:14">
      <c r="A52" s="3" t="s">
        <v>322</v>
      </c>
      <c r="B52" s="47"/>
      <c r="C52" s="47"/>
      <c r="D52" s="47"/>
      <c r="E52" s="47"/>
      <c r="F52" s="47"/>
      <c r="G52" s="47"/>
      <c r="H52" s="47"/>
      <c r="I52" s="47"/>
      <c r="J52" s="47"/>
      <c r="K52" s="48"/>
      <c r="L52" s="47"/>
      <c r="M52" s="48"/>
      <c r="N52" s="47"/>
    </row>
    <row r="53" spans="1:14">
      <c r="A53" s="3" t="s">
        <v>323</v>
      </c>
      <c r="B53" s="47"/>
      <c r="C53" s="47"/>
      <c r="D53" s="47"/>
      <c r="E53" s="47"/>
      <c r="F53" s="47"/>
      <c r="G53" s="47"/>
      <c r="H53" s="47"/>
      <c r="I53" s="47"/>
      <c r="J53" s="47"/>
      <c r="K53" s="48"/>
      <c r="L53" s="47"/>
      <c r="M53" s="48"/>
      <c r="N53" s="47"/>
    </row>
    <row r="54" spans="1:14">
      <c r="A54" s="3" t="s">
        <v>324</v>
      </c>
      <c r="B54" s="47"/>
      <c r="C54" s="47"/>
      <c r="D54" s="47"/>
      <c r="E54" s="47"/>
      <c r="F54" s="47"/>
      <c r="G54" s="47"/>
      <c r="H54" s="47"/>
      <c r="I54" s="47"/>
      <c r="J54" s="47"/>
      <c r="K54" s="48"/>
      <c r="L54" s="47"/>
      <c r="M54" s="48"/>
      <c r="N54" s="47"/>
    </row>
    <row r="55" spans="1:14">
      <c r="A55" s="3" t="s">
        <v>325</v>
      </c>
      <c r="B55" s="47"/>
      <c r="C55" s="47"/>
      <c r="D55" s="47"/>
      <c r="E55" s="47"/>
      <c r="F55" s="47"/>
      <c r="G55" s="47"/>
      <c r="H55" s="47"/>
      <c r="I55" s="47"/>
      <c r="J55" s="47"/>
      <c r="K55" s="48"/>
      <c r="L55" s="47"/>
      <c r="M55" s="48"/>
      <c r="N55" s="47"/>
    </row>
    <row r="56" spans="1:14">
      <c r="A56" s="3" t="s">
        <v>326</v>
      </c>
      <c r="B56" s="47"/>
      <c r="C56" s="47"/>
      <c r="D56" s="47"/>
      <c r="E56" s="47"/>
      <c r="F56" s="47"/>
      <c r="G56" s="47"/>
      <c r="H56" s="47"/>
      <c r="I56" s="47"/>
      <c r="J56" s="47"/>
      <c r="K56" s="48"/>
      <c r="L56" s="47"/>
      <c r="M56" s="48"/>
      <c r="N56" s="47"/>
    </row>
    <row r="57" spans="1:14">
      <c r="A57" s="3" t="s">
        <v>327</v>
      </c>
      <c r="B57" s="47"/>
      <c r="C57" s="47"/>
      <c r="D57" s="47"/>
      <c r="E57" s="47"/>
      <c r="F57" s="47"/>
      <c r="G57" s="47"/>
      <c r="H57" s="47"/>
      <c r="I57" s="47"/>
      <c r="J57" s="47"/>
      <c r="K57" s="48"/>
      <c r="L57" s="47"/>
      <c r="M57" s="48"/>
      <c r="N57" s="47"/>
    </row>
    <row r="58" spans="1:14">
      <c r="A58" s="3" t="s">
        <v>328</v>
      </c>
      <c r="B58" s="47"/>
      <c r="C58" s="47"/>
      <c r="D58" s="47"/>
      <c r="E58" s="47"/>
      <c r="F58" s="47"/>
      <c r="G58" s="47"/>
      <c r="H58" s="47"/>
      <c r="I58" s="47"/>
      <c r="J58" s="47"/>
      <c r="K58" s="48"/>
      <c r="L58" s="47"/>
      <c r="M58" s="48"/>
      <c r="N58" s="47"/>
    </row>
    <row r="59" spans="1:14">
      <c r="A59" s="3" t="s">
        <v>329</v>
      </c>
      <c r="B59" s="47"/>
      <c r="C59" s="47"/>
      <c r="D59" s="47"/>
      <c r="E59" s="47"/>
      <c r="F59" s="47"/>
      <c r="G59" s="47"/>
      <c r="H59" s="47"/>
      <c r="I59" s="47"/>
      <c r="J59" s="47"/>
      <c r="K59" s="48"/>
      <c r="L59" s="47"/>
      <c r="M59" s="48"/>
      <c r="N59" s="47"/>
    </row>
    <row r="60" spans="1:14">
      <c r="A60" s="3" t="s">
        <v>330</v>
      </c>
      <c r="B60" s="47"/>
      <c r="C60" s="47"/>
      <c r="D60" s="47"/>
      <c r="E60" s="47"/>
      <c r="F60" s="47"/>
      <c r="G60" s="47"/>
      <c r="H60" s="47"/>
      <c r="I60" s="47"/>
      <c r="J60" s="47"/>
      <c r="K60" s="48"/>
      <c r="L60" s="47"/>
      <c r="M60" s="48"/>
      <c r="N60" s="47"/>
    </row>
    <row r="61" spans="1:14">
      <c r="A61" s="3" t="s">
        <v>331</v>
      </c>
      <c r="B61" s="47"/>
      <c r="C61" s="47"/>
      <c r="D61" s="47"/>
      <c r="E61" s="47"/>
      <c r="F61" s="47"/>
      <c r="G61" s="47"/>
      <c r="H61" s="47"/>
      <c r="I61" s="47"/>
      <c r="J61" s="47"/>
      <c r="K61" s="48"/>
      <c r="L61" s="47"/>
      <c r="M61" s="48"/>
      <c r="N61" s="47"/>
    </row>
    <row r="62" spans="1:14">
      <c r="A62" s="3" t="s">
        <v>332</v>
      </c>
      <c r="B62" s="47"/>
      <c r="C62" s="47"/>
      <c r="D62" s="47"/>
      <c r="E62" s="47"/>
      <c r="F62" s="47"/>
      <c r="G62" s="47"/>
      <c r="H62" s="47"/>
      <c r="I62" s="47"/>
      <c r="J62" s="47"/>
      <c r="K62" s="48"/>
      <c r="L62" s="47"/>
      <c r="M62" s="48"/>
      <c r="N62" s="47"/>
    </row>
    <row r="63" spans="1:14">
      <c r="A63" s="3" t="s">
        <v>333</v>
      </c>
      <c r="B63" s="47"/>
      <c r="C63" s="47"/>
      <c r="D63" s="47"/>
      <c r="E63" s="47"/>
      <c r="F63" s="47"/>
      <c r="G63" s="47"/>
      <c r="H63" s="47"/>
      <c r="I63" s="47"/>
      <c r="J63" s="47"/>
      <c r="K63" s="48"/>
      <c r="L63" s="47"/>
      <c r="M63" s="48"/>
      <c r="N63" s="47"/>
    </row>
    <row r="64" spans="1:14">
      <c r="A64" s="3" t="s">
        <v>334</v>
      </c>
      <c r="B64" s="47"/>
      <c r="C64" s="47"/>
      <c r="D64" s="47"/>
      <c r="E64" s="47"/>
      <c r="F64" s="47"/>
      <c r="G64" s="47"/>
      <c r="H64" s="47"/>
      <c r="I64" s="47"/>
      <c r="J64" s="47"/>
      <c r="K64" s="48"/>
      <c r="L64" s="47"/>
      <c r="M64" s="48"/>
      <c r="N64" s="47"/>
    </row>
    <row r="65" spans="1:14">
      <c r="A65" s="3" t="s">
        <v>335</v>
      </c>
      <c r="B65" s="47"/>
      <c r="C65" s="47"/>
      <c r="D65" s="47"/>
      <c r="E65" s="47"/>
      <c r="F65" s="47"/>
      <c r="G65" s="47"/>
      <c r="H65" s="47"/>
      <c r="I65" s="47"/>
      <c r="J65" s="47"/>
      <c r="K65" s="48"/>
      <c r="L65" s="47"/>
      <c r="M65" s="48"/>
      <c r="N65" s="47"/>
    </row>
    <row r="66" spans="1:14">
      <c r="A66" s="3" t="s">
        <v>336</v>
      </c>
      <c r="B66" s="47"/>
      <c r="C66" s="47"/>
      <c r="D66" s="47"/>
      <c r="E66" s="47"/>
      <c r="F66" s="47"/>
      <c r="G66" s="47"/>
      <c r="H66" s="47"/>
      <c r="I66" s="47"/>
      <c r="J66" s="47"/>
      <c r="K66" s="48"/>
      <c r="L66" s="47"/>
      <c r="M66" s="48"/>
      <c r="N66" s="47"/>
    </row>
    <row r="67" spans="1:14">
      <c r="A67" s="3" t="s">
        <v>337</v>
      </c>
      <c r="B67" s="47"/>
      <c r="C67" s="47"/>
      <c r="D67" s="47"/>
      <c r="E67" s="47"/>
      <c r="F67" s="47"/>
      <c r="G67" s="47"/>
      <c r="H67" s="47"/>
      <c r="I67" s="47"/>
      <c r="J67" s="47"/>
      <c r="K67" s="48"/>
      <c r="L67" s="47"/>
      <c r="M67" s="48"/>
      <c r="N67" s="47"/>
    </row>
    <row r="68" spans="1:14">
      <c r="A68" s="3" t="s">
        <v>338</v>
      </c>
      <c r="B68" s="47"/>
      <c r="C68" s="47"/>
      <c r="D68" s="47"/>
      <c r="E68" s="47"/>
      <c r="F68" s="47"/>
      <c r="G68" s="47"/>
      <c r="H68" s="47"/>
      <c r="I68" s="47"/>
      <c r="J68" s="47"/>
      <c r="K68" s="48"/>
      <c r="L68" s="47"/>
      <c r="M68" s="48"/>
      <c r="N68" s="47"/>
    </row>
    <row r="69" spans="1:14">
      <c r="A69" s="3" t="s">
        <v>339</v>
      </c>
      <c r="B69" s="47"/>
      <c r="C69" s="47"/>
      <c r="D69" s="47"/>
      <c r="E69" s="47"/>
      <c r="F69" s="47"/>
      <c r="G69" s="47"/>
      <c r="H69" s="47"/>
      <c r="I69" s="47"/>
      <c r="J69" s="47"/>
      <c r="K69" s="48"/>
      <c r="L69" s="47"/>
      <c r="M69" s="48"/>
      <c r="N69" s="47"/>
    </row>
    <row r="70" spans="1:14">
      <c r="A70" s="3" t="s">
        <v>340</v>
      </c>
      <c r="B70" s="47"/>
      <c r="C70" s="47"/>
      <c r="D70" s="47"/>
      <c r="E70" s="47"/>
      <c r="F70" s="47"/>
      <c r="G70" s="47"/>
      <c r="H70" s="47"/>
      <c r="I70" s="47"/>
      <c r="J70" s="47"/>
      <c r="K70" s="48"/>
      <c r="L70" s="47"/>
      <c r="M70" s="48"/>
      <c r="N70" s="47"/>
    </row>
    <row r="71" spans="1:14">
      <c r="A71" s="3" t="s">
        <v>341</v>
      </c>
      <c r="B71" s="47"/>
      <c r="C71" s="47"/>
      <c r="D71" s="47"/>
      <c r="E71" s="47"/>
      <c r="F71" s="47"/>
      <c r="G71" s="47"/>
      <c r="H71" s="47"/>
      <c r="I71" s="47"/>
      <c r="J71" s="47"/>
      <c r="K71" s="48"/>
      <c r="L71" s="47"/>
      <c r="M71" s="48"/>
      <c r="N71" s="47"/>
    </row>
    <row r="72" spans="1:14">
      <c r="A72" s="3" t="s">
        <v>342</v>
      </c>
      <c r="B72" s="47"/>
      <c r="C72" s="47"/>
      <c r="D72" s="47"/>
      <c r="E72" s="47"/>
      <c r="F72" s="47"/>
      <c r="G72" s="47"/>
      <c r="H72" s="47"/>
      <c r="I72" s="47"/>
      <c r="J72" s="47"/>
      <c r="K72" s="48"/>
      <c r="L72" s="47"/>
      <c r="M72" s="48"/>
      <c r="N72" s="47"/>
    </row>
    <row r="73" spans="1:14">
      <c r="A73" s="3" t="s">
        <v>343</v>
      </c>
      <c r="B73" s="47"/>
      <c r="C73" s="47"/>
      <c r="D73" s="47"/>
      <c r="E73" s="47"/>
      <c r="F73" s="47"/>
      <c r="G73" s="47"/>
      <c r="H73" s="47"/>
      <c r="I73" s="47"/>
      <c r="J73" s="47"/>
      <c r="K73" s="48"/>
      <c r="L73" s="47"/>
      <c r="M73" s="48"/>
      <c r="N73" s="47"/>
    </row>
    <row r="74" spans="1:14">
      <c r="A74" s="3" t="s">
        <v>344</v>
      </c>
      <c r="B74" s="47"/>
      <c r="C74" s="47"/>
      <c r="D74" s="47"/>
      <c r="E74" s="47"/>
      <c r="F74" s="47"/>
      <c r="G74" s="47"/>
      <c r="H74" s="47"/>
      <c r="I74" s="47"/>
      <c r="J74" s="47"/>
      <c r="K74" s="48"/>
      <c r="L74" s="47"/>
      <c r="M74" s="48"/>
      <c r="N74" s="47"/>
    </row>
    <row r="75" spans="1:14">
      <c r="A75" s="3" t="s">
        <v>345</v>
      </c>
      <c r="B75" s="47"/>
      <c r="C75" s="47"/>
      <c r="D75" s="47"/>
      <c r="E75" s="47"/>
      <c r="F75" s="47"/>
      <c r="G75" s="47"/>
      <c r="H75" s="47"/>
      <c r="I75" s="47"/>
      <c r="J75" s="47"/>
      <c r="K75" s="48"/>
      <c r="L75" s="47"/>
      <c r="M75" s="48"/>
      <c r="N75" s="47"/>
    </row>
    <row r="76" spans="1:14">
      <c r="A76" s="3" t="s">
        <v>346</v>
      </c>
      <c r="B76" s="47"/>
      <c r="C76" s="47"/>
      <c r="D76" s="47"/>
      <c r="E76" s="47"/>
      <c r="F76" s="47"/>
      <c r="G76" s="47"/>
      <c r="H76" s="47"/>
      <c r="I76" s="47"/>
      <c r="J76" s="47"/>
      <c r="K76" s="48"/>
      <c r="L76" s="47"/>
      <c r="M76" s="48"/>
      <c r="N76" s="47"/>
    </row>
    <row r="77" spans="1:14">
      <c r="A77" s="3" t="s">
        <v>347</v>
      </c>
      <c r="B77" s="47"/>
      <c r="C77" s="47"/>
      <c r="D77" s="47"/>
      <c r="E77" s="47"/>
      <c r="F77" s="47"/>
      <c r="G77" s="47"/>
      <c r="H77" s="47"/>
      <c r="I77" s="47"/>
      <c r="J77" s="47"/>
      <c r="K77" s="48"/>
      <c r="L77" s="47"/>
      <c r="M77" s="48"/>
      <c r="N77" s="47"/>
    </row>
    <row r="78" spans="1:14">
      <c r="A78" s="3" t="s">
        <v>348</v>
      </c>
      <c r="B78" s="47"/>
      <c r="C78" s="47"/>
      <c r="D78" s="47"/>
      <c r="E78" s="47"/>
      <c r="F78" s="47"/>
      <c r="G78" s="47"/>
      <c r="H78" s="47"/>
      <c r="I78" s="47"/>
      <c r="J78" s="47"/>
      <c r="K78" s="48"/>
      <c r="L78" s="47"/>
      <c r="M78" s="48"/>
      <c r="N78" s="47"/>
    </row>
    <row r="79" spans="1:14">
      <c r="A79" s="3" t="s">
        <v>349</v>
      </c>
      <c r="B79" s="47"/>
      <c r="C79" s="47"/>
      <c r="D79" s="47"/>
      <c r="E79" s="47"/>
      <c r="F79" s="47"/>
      <c r="G79" s="47"/>
      <c r="H79" s="47"/>
      <c r="I79" s="47"/>
      <c r="J79" s="47"/>
      <c r="K79" s="48"/>
      <c r="L79" s="47"/>
      <c r="M79" s="48"/>
      <c r="N79" s="47"/>
    </row>
    <row r="80" spans="1:14">
      <c r="A80" s="3" t="s">
        <v>350</v>
      </c>
      <c r="B80" s="47"/>
      <c r="C80" s="47"/>
      <c r="D80" s="47"/>
      <c r="E80" s="47"/>
      <c r="F80" s="47"/>
      <c r="G80" s="47"/>
      <c r="H80" s="47"/>
      <c r="I80" s="47"/>
      <c r="J80" s="47"/>
      <c r="K80" s="48"/>
      <c r="L80" s="47"/>
      <c r="M80" s="48"/>
      <c r="N80" s="47"/>
    </row>
    <row r="81" spans="1:14">
      <c r="A81" s="3" t="s">
        <v>351</v>
      </c>
      <c r="B81" s="47"/>
      <c r="C81" s="47"/>
      <c r="D81" s="47"/>
      <c r="E81" s="47"/>
      <c r="F81" s="47"/>
      <c r="G81" s="47"/>
      <c r="H81" s="47"/>
      <c r="I81" s="47"/>
      <c r="J81" s="47"/>
      <c r="K81" s="48"/>
      <c r="L81" s="47"/>
      <c r="M81" s="48"/>
      <c r="N81" s="47"/>
    </row>
    <row r="82" spans="1:14">
      <c r="A82" s="3" t="s">
        <v>352</v>
      </c>
      <c r="B82" s="47"/>
      <c r="C82" s="47"/>
      <c r="D82" s="47"/>
      <c r="E82" s="47"/>
      <c r="F82" s="47"/>
      <c r="G82" s="47"/>
      <c r="H82" s="47"/>
      <c r="I82" s="47"/>
      <c r="J82" s="47"/>
      <c r="K82" s="48"/>
      <c r="L82" s="47"/>
      <c r="M82" s="48"/>
      <c r="N82" s="47"/>
    </row>
    <row r="83" spans="1:14">
      <c r="A83" s="3" t="s">
        <v>353</v>
      </c>
      <c r="B83" s="47"/>
      <c r="C83" s="47"/>
      <c r="D83" s="47"/>
      <c r="E83" s="47"/>
      <c r="F83" s="47"/>
      <c r="G83" s="47"/>
      <c r="H83" s="47"/>
      <c r="I83" s="47"/>
      <c r="J83" s="47"/>
      <c r="K83" s="48"/>
      <c r="L83" s="47"/>
      <c r="M83" s="48"/>
      <c r="N83" s="47"/>
    </row>
    <row r="84" spans="1:14">
      <c r="A84" s="3" t="s">
        <v>354</v>
      </c>
      <c r="B84" s="47"/>
      <c r="C84" s="47"/>
      <c r="D84" s="47"/>
      <c r="E84" s="47"/>
      <c r="F84" s="47"/>
      <c r="G84" s="47"/>
      <c r="H84" s="47"/>
      <c r="I84" s="47"/>
      <c r="J84" s="47"/>
      <c r="K84" s="48"/>
      <c r="L84" s="47"/>
      <c r="M84" s="48"/>
      <c r="N84" s="47"/>
    </row>
    <row r="85" spans="1:14">
      <c r="A85" s="3" t="s">
        <v>355</v>
      </c>
      <c r="B85" s="47"/>
      <c r="C85" s="47"/>
      <c r="D85" s="47"/>
      <c r="E85" s="47"/>
      <c r="F85" s="47"/>
      <c r="G85" s="47"/>
      <c r="H85" s="47"/>
      <c r="I85" s="47"/>
      <c r="J85" s="47"/>
      <c r="K85" s="48"/>
      <c r="L85" s="47"/>
      <c r="M85" s="48"/>
      <c r="N85" s="47"/>
    </row>
    <row r="86" spans="1:14">
      <c r="A86" s="3" t="s">
        <v>356</v>
      </c>
      <c r="B86" s="47"/>
      <c r="C86" s="47"/>
      <c r="D86" s="47"/>
      <c r="E86" s="47"/>
      <c r="F86" s="47"/>
      <c r="G86" s="47"/>
      <c r="H86" s="47"/>
      <c r="I86" s="47"/>
      <c r="J86" s="47"/>
      <c r="K86" s="48"/>
      <c r="L86" s="47"/>
      <c r="M86" s="48"/>
      <c r="N86" s="47"/>
    </row>
    <row r="87" spans="1:14">
      <c r="A87" s="3" t="s">
        <v>357</v>
      </c>
      <c r="B87" s="47"/>
      <c r="C87" s="47"/>
      <c r="D87" s="47"/>
      <c r="E87" s="47"/>
      <c r="F87" s="47"/>
      <c r="G87" s="47"/>
      <c r="H87" s="47"/>
      <c r="I87" s="47"/>
      <c r="J87" s="47"/>
      <c r="K87" s="48"/>
      <c r="L87" s="47"/>
      <c r="M87" s="48"/>
      <c r="N87" s="47"/>
    </row>
    <row r="88" spans="1:14">
      <c r="A88" s="3" t="s">
        <v>358</v>
      </c>
      <c r="B88" s="47"/>
      <c r="C88" s="47"/>
      <c r="D88" s="47"/>
      <c r="E88" s="47"/>
      <c r="F88" s="47"/>
      <c r="G88" s="47"/>
      <c r="H88" s="47"/>
      <c r="I88" s="47"/>
      <c r="J88" s="47"/>
      <c r="K88" s="48"/>
      <c r="L88" s="47"/>
      <c r="M88" s="48"/>
      <c r="N88" s="47"/>
    </row>
    <row r="89" spans="1:14">
      <c r="A89" s="3" t="s">
        <v>359</v>
      </c>
      <c r="B89" s="47"/>
      <c r="C89" s="47"/>
      <c r="D89" s="47"/>
      <c r="E89" s="47"/>
      <c r="F89" s="47"/>
      <c r="G89" s="47"/>
      <c r="H89" s="47"/>
      <c r="I89" s="47"/>
      <c r="J89" s="47"/>
      <c r="K89" s="48"/>
      <c r="L89" s="47"/>
      <c r="M89" s="48"/>
      <c r="N89" s="47"/>
    </row>
    <row r="90" spans="1:14">
      <c r="A90" s="3" t="s">
        <v>360</v>
      </c>
      <c r="B90" s="47"/>
      <c r="C90" s="47"/>
      <c r="D90" s="47"/>
      <c r="E90" s="47"/>
      <c r="F90" s="47"/>
      <c r="G90" s="47"/>
      <c r="H90" s="47"/>
      <c r="I90" s="47"/>
      <c r="J90" s="47"/>
      <c r="K90" s="48"/>
      <c r="L90" s="47"/>
      <c r="M90" s="48"/>
      <c r="N90" s="47"/>
    </row>
    <row r="91" spans="1:14">
      <c r="A91" s="3" t="s">
        <v>361</v>
      </c>
      <c r="B91" s="47"/>
      <c r="C91" s="47"/>
      <c r="D91" s="47"/>
      <c r="E91" s="47"/>
      <c r="F91" s="47"/>
      <c r="G91" s="47"/>
      <c r="H91" s="47"/>
      <c r="I91" s="47"/>
      <c r="J91" s="47"/>
      <c r="K91" s="48"/>
      <c r="L91" s="47"/>
      <c r="M91" s="48"/>
      <c r="N91" s="47"/>
    </row>
    <row r="92" spans="1:14">
      <c r="A92" s="3" t="s">
        <v>362</v>
      </c>
      <c r="B92" s="47"/>
      <c r="C92" s="47"/>
      <c r="D92" s="47"/>
      <c r="E92" s="47"/>
      <c r="F92" s="47"/>
      <c r="G92" s="47"/>
      <c r="H92" s="47"/>
      <c r="I92" s="47"/>
      <c r="J92" s="47"/>
      <c r="K92" s="48"/>
      <c r="L92" s="47"/>
      <c r="M92" s="48"/>
      <c r="N92" s="47"/>
    </row>
    <row r="93" spans="1:14">
      <c r="A93" s="3" t="s">
        <v>363</v>
      </c>
      <c r="B93" s="47"/>
      <c r="C93" s="47"/>
      <c r="D93" s="47"/>
      <c r="E93" s="47"/>
      <c r="F93" s="47"/>
      <c r="G93" s="47"/>
      <c r="H93" s="47"/>
      <c r="I93" s="47"/>
      <c r="J93" s="47"/>
      <c r="K93" s="48"/>
      <c r="L93" s="47"/>
      <c r="M93" s="48"/>
      <c r="N93" s="47"/>
    </row>
    <row r="94" spans="1:14">
      <c r="A94" s="3" t="s">
        <v>364</v>
      </c>
      <c r="B94" s="47"/>
      <c r="C94" s="47"/>
      <c r="D94" s="47"/>
      <c r="E94" s="47"/>
      <c r="F94" s="47"/>
      <c r="G94" s="47"/>
      <c r="H94" s="47"/>
      <c r="I94" s="47"/>
      <c r="J94" s="47"/>
      <c r="K94" s="48"/>
      <c r="L94" s="47"/>
      <c r="M94" s="48"/>
      <c r="N94" s="47"/>
    </row>
    <row r="95" spans="1:14">
      <c r="A95" s="3" t="s">
        <v>365</v>
      </c>
      <c r="B95" s="47"/>
      <c r="C95" s="47"/>
      <c r="D95" s="47"/>
      <c r="E95" s="47"/>
      <c r="F95" s="47"/>
      <c r="G95" s="47"/>
      <c r="H95" s="47"/>
      <c r="I95" s="47"/>
      <c r="J95" s="47"/>
      <c r="K95" s="48"/>
      <c r="L95" s="47"/>
      <c r="M95" s="48"/>
      <c r="N95" s="47"/>
    </row>
    <row r="96" spans="1:14">
      <c r="A96" s="3" t="s">
        <v>366</v>
      </c>
      <c r="B96" s="47"/>
      <c r="C96" s="47"/>
      <c r="D96" s="47"/>
      <c r="E96" s="47"/>
      <c r="F96" s="47"/>
      <c r="G96" s="47"/>
      <c r="H96" s="47"/>
      <c r="I96" s="47"/>
      <c r="J96" s="47"/>
      <c r="K96" s="48"/>
      <c r="L96" s="47"/>
      <c r="M96" s="48"/>
      <c r="N96" s="47"/>
    </row>
    <row r="97" spans="1:14">
      <c r="A97" s="3" t="s">
        <v>367</v>
      </c>
      <c r="B97" s="47"/>
      <c r="C97" s="47"/>
      <c r="D97" s="47"/>
      <c r="E97" s="47"/>
      <c r="F97" s="47"/>
      <c r="G97" s="47"/>
      <c r="H97" s="47"/>
      <c r="I97" s="47"/>
      <c r="J97" s="47"/>
      <c r="K97" s="48"/>
      <c r="L97" s="47"/>
      <c r="M97" s="48"/>
      <c r="N97" s="47"/>
    </row>
    <row r="98" spans="1:14">
      <c r="A98" s="3" t="s">
        <v>368</v>
      </c>
      <c r="B98" s="47"/>
      <c r="C98" s="47"/>
      <c r="D98" s="47"/>
      <c r="E98" s="47"/>
      <c r="F98" s="47"/>
      <c r="G98" s="47"/>
      <c r="H98" s="47"/>
      <c r="I98" s="47"/>
      <c r="J98" s="47"/>
      <c r="K98" s="48"/>
      <c r="L98" s="47"/>
      <c r="M98" s="48"/>
      <c r="N98" s="47"/>
    </row>
    <row r="99" spans="1:14">
      <c r="A99" s="3" t="s">
        <v>369</v>
      </c>
      <c r="B99" s="47"/>
      <c r="C99" s="47"/>
      <c r="D99" s="47"/>
      <c r="E99" s="47"/>
      <c r="F99" s="47"/>
      <c r="G99" s="47"/>
      <c r="H99" s="47"/>
      <c r="I99" s="47"/>
      <c r="J99" s="47"/>
      <c r="K99" s="48"/>
      <c r="L99" s="47"/>
      <c r="M99" s="48"/>
      <c r="N99" s="47"/>
    </row>
    <row r="100" spans="1:14">
      <c r="A100" s="3" t="s">
        <v>370</v>
      </c>
      <c r="B100" s="47"/>
      <c r="C100" s="47"/>
      <c r="D100" s="47"/>
      <c r="E100" s="47"/>
      <c r="F100" s="47"/>
      <c r="G100" s="47"/>
      <c r="H100" s="47"/>
      <c r="I100" s="47"/>
      <c r="J100" s="47"/>
      <c r="K100" s="48"/>
      <c r="L100" s="47"/>
      <c r="M100" s="48"/>
      <c r="N100" s="47"/>
    </row>
    <row r="101" spans="1:14">
      <c r="A101" s="3" t="s">
        <v>371</v>
      </c>
      <c r="B101" s="47"/>
      <c r="C101" s="47"/>
      <c r="D101" s="47"/>
      <c r="E101" s="47"/>
      <c r="F101" s="47"/>
      <c r="G101" s="47"/>
      <c r="H101" s="47"/>
      <c r="I101" s="47"/>
      <c r="J101" s="47"/>
      <c r="K101" s="48"/>
      <c r="L101" s="47"/>
      <c r="M101" s="48"/>
      <c r="N101" s="47"/>
    </row>
    <row r="102" spans="1:14" s="20" customFormat="1">
      <c r="A102" s="19"/>
    </row>
  </sheetData>
  <sheetProtection formatCells="0" formatColumns="0" formatRows="0"/>
  <protectedRanges>
    <protectedRange sqref="C2:N101" name="Right" securityDescriptor="O:WDG:WDD:(A;;CC;;;S-1-5-21-2765415570-973575261-3607781193-1203)"/>
  </protectedRanges>
  <customSheetViews>
    <customSheetView guid="{7656BB3C-1299-4E61-A887-A5F4101AF2AB}" scale="80">
      <pane xSplit="1" ySplit="1" topLeftCell="C2" activePane="bottomRight" state="frozen"/>
      <selection pane="bottomRight" activeCell="N1" sqref="N1"/>
      <pageMargins left="0.25" right="0.25" top="0.75" bottom="0.75" header="0.3" footer="0.3"/>
      <pageSetup orientation="portrait" horizontalDpi="4294967292" verticalDpi="4294967292"/>
    </customSheetView>
    <customSheetView guid="{DB3826DE-0319-4671-8564-0DA8C5492560}" scale="80">
      <pane xSplit="1" ySplit="1" topLeftCell="C2" activePane="bottomRight" state="frozen"/>
      <selection pane="bottomRight" activeCell="M19" sqref="M19"/>
      <pageMargins left="0.25" right="0.25" top="0.75" bottom="0.75" header="0.3" footer="0.3"/>
      <pageSetup orientation="portrait" horizontalDpi="4294967292" verticalDpi="4294967292" r:id="rId1"/>
    </customSheetView>
  </customSheetViews>
  <dataValidations count="3">
    <dataValidation type="list" allowBlank="1" showInputMessage="1" showErrorMessage="1" sqref="G2:G101">
      <formula1>ItemType</formula1>
    </dataValidation>
    <dataValidation type="list" allowBlank="1" showInputMessage="1" showErrorMessage="1" sqref="J2:J101">
      <formula1>BorrowPeriod</formula1>
    </dataValidation>
    <dataValidation type="list" allowBlank="1" showInputMessage="1" showErrorMessage="1" sqref="L2:L101">
      <formula1>Returned</formula1>
    </dataValidation>
  </dataValidations>
  <pageMargins left="0.25" right="0.25" top="0.75" bottom="0.75" header="0.3" footer="0.3"/>
  <pageSetup orientation="portrait" horizontalDpi="4294967292" verticalDpi="4294967292"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F21"/>
  <sheetViews>
    <sheetView workbookViewId="0">
      <selection activeCell="C26" sqref="C26"/>
    </sheetView>
  </sheetViews>
  <sheetFormatPr defaultColWidth="11" defaultRowHeight="15.75"/>
  <cols>
    <col min="1" max="1" width="16.125" bestFit="1" customWidth="1"/>
    <col min="2" max="2" width="5.5" customWidth="1"/>
    <col min="3" max="3" width="16.125" bestFit="1" customWidth="1"/>
    <col min="4" max="4" width="15.125" bestFit="1" customWidth="1"/>
    <col min="6" max="6" width="21.625" customWidth="1"/>
    <col min="7" max="7" width="18.5" customWidth="1"/>
  </cols>
  <sheetData>
    <row r="1" spans="1:6">
      <c r="A1" s="3" t="s">
        <v>13</v>
      </c>
      <c r="B1" s="3" t="s">
        <v>14</v>
      </c>
      <c r="C1" s="21" t="s">
        <v>121</v>
      </c>
      <c r="D1" s="1"/>
    </row>
    <row r="2" spans="1:6">
      <c r="A2" s="2" t="s">
        <v>3</v>
      </c>
      <c r="B2">
        <v>1</v>
      </c>
      <c r="C2" s="1">
        <f ca="1">NOW()+2/24</f>
        <v>42282.699303009264</v>
      </c>
    </row>
    <row r="3" spans="1:6">
      <c r="A3" s="2" t="s">
        <v>4</v>
      </c>
      <c r="B3">
        <v>2</v>
      </c>
      <c r="C3" s="1">
        <f ca="1">NOW()+4/24</f>
        <v>42282.782636342592</v>
      </c>
    </row>
    <row r="4" spans="1:6">
      <c r="A4" s="2" t="s">
        <v>5</v>
      </c>
      <c r="B4">
        <v>3</v>
      </c>
      <c r="C4" s="22">
        <f ca="1">TODAY()+1</f>
        <v>42283</v>
      </c>
    </row>
    <row r="5" spans="1:6">
      <c r="A5" s="2" t="s">
        <v>6</v>
      </c>
      <c r="B5">
        <v>4</v>
      </c>
      <c r="C5" s="22">
        <f ca="1">TODAY()+2</f>
        <v>42284</v>
      </c>
    </row>
    <row r="6" spans="1:6">
      <c r="A6" s="2" t="s">
        <v>7</v>
      </c>
      <c r="B6">
        <v>5</v>
      </c>
      <c r="C6" s="22">
        <f ca="1">TODAY()+3</f>
        <v>42285</v>
      </c>
    </row>
    <row r="7" spans="1:6">
      <c r="A7" s="2" t="s">
        <v>8</v>
      </c>
      <c r="B7">
        <v>6</v>
      </c>
      <c r="C7" s="22">
        <f ca="1">TODAY()+7</f>
        <v>42289</v>
      </c>
    </row>
    <row r="8" spans="1:6">
      <c r="A8" s="2" t="s">
        <v>9</v>
      </c>
      <c r="B8">
        <v>7</v>
      </c>
      <c r="C8" s="22">
        <f ca="1">TODAY()+14</f>
        <v>42296</v>
      </c>
    </row>
    <row r="9" spans="1:6">
      <c r="A9" s="2" t="s">
        <v>10</v>
      </c>
      <c r="B9">
        <v>8</v>
      </c>
      <c r="C9" s="22">
        <f ca="1">TODAY()+28</f>
        <v>42310</v>
      </c>
    </row>
    <row r="10" spans="1:6">
      <c r="A10" s="2" t="s">
        <v>11</v>
      </c>
      <c r="B10">
        <v>9</v>
      </c>
      <c r="C10" s="22">
        <f ca="1">TODAY()+91</f>
        <v>42373</v>
      </c>
    </row>
    <row r="11" spans="1:6">
      <c r="A11" s="2" t="s">
        <v>12</v>
      </c>
      <c r="B11">
        <v>10</v>
      </c>
      <c r="C11" s="22">
        <f ca="1">TODAY()+128</f>
        <v>42410</v>
      </c>
    </row>
    <row r="14" spans="1:6">
      <c r="A14" s="4" t="s">
        <v>1</v>
      </c>
      <c r="C14" s="3" t="s">
        <v>122</v>
      </c>
      <c r="F14" s="1"/>
    </row>
    <row r="15" spans="1:6">
      <c r="A15" s="2" t="s">
        <v>123</v>
      </c>
      <c r="C15" t="s">
        <v>132</v>
      </c>
    </row>
    <row r="16" spans="1:6">
      <c r="A16" s="2" t="s">
        <v>124</v>
      </c>
      <c r="C16" t="s">
        <v>133</v>
      </c>
      <c r="F16" s="1"/>
    </row>
    <row r="17" spans="1:1">
      <c r="A17" s="2" t="s">
        <v>125</v>
      </c>
    </row>
    <row r="18" spans="1:1">
      <c r="A18" s="2" t="s">
        <v>126</v>
      </c>
    </row>
    <row r="19" spans="1:1">
      <c r="A19" s="2" t="s">
        <v>127</v>
      </c>
    </row>
    <row r="20" spans="1:1">
      <c r="A20" s="2" t="s">
        <v>128</v>
      </c>
    </row>
    <row r="21" spans="1:1">
      <c r="A21" s="2" t="s">
        <v>376</v>
      </c>
    </row>
  </sheetData>
  <customSheetViews>
    <customSheetView guid="{7656BB3C-1299-4E61-A887-A5F4101AF2AB}" state="hidden">
      <selection activeCell="C26" sqref="C26"/>
      <pageMargins left="0.75" right="0.75" top="1" bottom="1" header="0.5" footer="0.5"/>
    </customSheetView>
    <customSheetView guid="{DB3826DE-0319-4671-8564-0DA8C5492560}" state="hidden">
      <selection activeCell="C26" sqref="C26"/>
      <pageMargins left="0.75" right="0.75" top="1" bottom="1" header="0.5" footer="0.5"/>
      <pageSetup orientation="portrait" horizontalDpi="4294967295" verticalDpi="4294967295" r:id="rId1"/>
    </customSheetView>
  </customSheetViews>
  <dataValidations count="1">
    <dataValidation type="list" allowBlank="1" showInputMessage="1" showErrorMessage="1" sqref="D4">
      <formula1>$A$2:$A$11</formula1>
    </dataValidation>
  </dataValidations>
  <pageMargins left="0.75" right="0.75" top="1" bottom="1" header="0.5" footer="0.5"/>
  <pageSetup orientation="portrait" horizontalDpi="4294967295" verticalDpi="4294967295"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theme="0" tint="-0.499984740745262"/>
  </sheetPr>
  <dimension ref="A1:N11"/>
  <sheetViews>
    <sheetView zoomScale="80" zoomScaleNormal="80" zoomScalePageLayoutView="90" workbookViewId="0">
      <pane ySplit="1" topLeftCell="A2" activePane="bottomLeft" state="frozen"/>
      <selection pane="bottomLeft" activeCell="J30" sqref="J30"/>
    </sheetView>
  </sheetViews>
  <sheetFormatPr defaultColWidth="9" defaultRowHeight="15.75"/>
  <cols>
    <col min="1" max="1" width="6.5" customWidth="1"/>
    <col min="2" max="2" width="13.375" customWidth="1"/>
    <col min="3" max="4" width="11"/>
    <col min="5" max="5" width="19" customWidth="1"/>
    <col min="6" max="6" width="16.875" customWidth="1"/>
    <col min="7" max="8" width="11"/>
    <col min="9" max="9" width="14.625" customWidth="1"/>
    <col min="10" max="10" width="11"/>
    <col min="11" max="11" width="22" customWidth="1"/>
    <col min="12" max="12" width="12" customWidth="1"/>
    <col min="13" max="13" width="21.625" customWidth="1"/>
    <col min="14" max="14" width="9" hidden="1" customWidth="1"/>
  </cols>
  <sheetData>
    <row r="1" spans="1:14" s="6" customFormat="1" ht="31.5">
      <c r="A1" s="5" t="s">
        <v>129</v>
      </c>
      <c r="B1" s="5" t="s">
        <v>0</v>
      </c>
      <c r="C1" s="5" t="s">
        <v>116</v>
      </c>
      <c r="D1" s="5" t="s">
        <v>117</v>
      </c>
      <c r="E1" s="5" t="s">
        <v>380</v>
      </c>
      <c r="F1" s="5" t="s">
        <v>135</v>
      </c>
      <c r="G1" s="5" t="s">
        <v>1</v>
      </c>
      <c r="H1" s="5" t="s">
        <v>119</v>
      </c>
      <c r="I1" s="5" t="s">
        <v>120</v>
      </c>
      <c r="J1" s="5" t="s">
        <v>130</v>
      </c>
      <c r="K1" s="5" t="s">
        <v>121</v>
      </c>
      <c r="L1" s="5" t="s">
        <v>122</v>
      </c>
      <c r="M1" s="5" t="s">
        <v>131</v>
      </c>
    </row>
    <row r="2" spans="1:14">
      <c r="A2" s="3"/>
      <c r="B2" s="47"/>
      <c r="C2" s="47"/>
      <c r="D2" s="47"/>
      <c r="E2" s="47"/>
      <c r="F2" s="47"/>
      <c r="G2" s="47"/>
      <c r="H2" s="47"/>
      <c r="I2" s="47"/>
      <c r="J2" s="47"/>
      <c r="K2" s="48"/>
      <c r="L2" s="47"/>
      <c r="M2" s="48"/>
      <c r="N2" s="47"/>
    </row>
    <row r="3" spans="1:14">
      <c r="A3" s="3"/>
      <c r="B3" s="47"/>
      <c r="C3" s="47"/>
      <c r="D3" s="47"/>
      <c r="E3" s="47"/>
      <c r="F3" s="47"/>
      <c r="G3" s="47"/>
      <c r="H3" s="47"/>
      <c r="I3" s="47"/>
      <c r="J3" s="47"/>
      <c r="K3" s="48"/>
      <c r="L3" s="47"/>
      <c r="M3" s="48"/>
      <c r="N3" s="47"/>
    </row>
    <row r="4" spans="1:14">
      <c r="A4" s="3"/>
      <c r="B4" s="47"/>
      <c r="C4" s="47"/>
      <c r="D4" s="47"/>
      <c r="E4" s="47"/>
      <c r="F4" s="47"/>
      <c r="G4" s="47"/>
      <c r="H4" s="47"/>
      <c r="I4" s="47"/>
      <c r="J4" s="47"/>
      <c r="K4" s="48"/>
      <c r="L4" s="47"/>
      <c r="M4" s="48"/>
      <c r="N4" s="47"/>
    </row>
    <row r="5" spans="1:14">
      <c r="A5" s="3"/>
      <c r="B5" s="47"/>
      <c r="C5" s="47"/>
      <c r="D5" s="47"/>
      <c r="E5" s="47"/>
      <c r="F5" s="47"/>
      <c r="G5" s="47"/>
      <c r="H5" s="47"/>
      <c r="I5" s="47"/>
      <c r="J5" s="47"/>
      <c r="K5" s="48"/>
      <c r="L5" s="47"/>
      <c r="M5" s="48"/>
      <c r="N5" s="47"/>
    </row>
    <row r="6" spans="1:14">
      <c r="A6" s="3"/>
      <c r="B6" s="47"/>
      <c r="C6" s="47"/>
      <c r="D6" s="47"/>
      <c r="E6" s="47"/>
      <c r="F6" s="47"/>
      <c r="G6" s="47"/>
      <c r="H6" s="47"/>
      <c r="I6" s="47"/>
      <c r="J6" s="47"/>
      <c r="K6" s="48"/>
      <c r="L6" s="47"/>
      <c r="M6" s="48"/>
      <c r="N6" s="47"/>
    </row>
    <row r="7" spans="1:14">
      <c r="A7" s="3"/>
      <c r="B7" s="47"/>
      <c r="C7" s="47"/>
      <c r="D7" s="47"/>
      <c r="E7" s="47"/>
      <c r="F7" s="47"/>
      <c r="G7" s="47"/>
      <c r="H7" s="47"/>
      <c r="I7" s="47"/>
      <c r="J7" s="47"/>
      <c r="K7" s="48"/>
      <c r="L7" s="47"/>
      <c r="M7" s="48"/>
      <c r="N7" s="47"/>
    </row>
    <row r="8" spans="1:14">
      <c r="A8" s="3"/>
      <c r="K8" s="23"/>
      <c r="M8" s="23"/>
    </row>
    <row r="9" spans="1:14">
      <c r="A9" s="3"/>
      <c r="K9" s="23"/>
      <c r="M9" s="23"/>
    </row>
    <row r="10" spans="1:14">
      <c r="A10" s="3"/>
      <c r="K10" s="23"/>
      <c r="M10" s="23"/>
    </row>
    <row r="11" spans="1:14">
      <c r="A11" s="3"/>
      <c r="K11" s="23"/>
      <c r="M11" s="23"/>
    </row>
  </sheetData>
  <sheetProtection formatCells="0" formatColumns="0" formatRows="0"/>
  <protectedRanges>
    <protectedRange sqref="B2:N2" name="Range1_6" securityDescriptor="O:WDG:WDD:(A;;CC;;;S-1-5-21-2765415570-973575261-3607781193-1203)"/>
  </protectedRanges>
  <sortState ref="A2:N11">
    <sortCondition ref="E2"/>
  </sortState>
  <customSheetViews>
    <customSheetView guid="{7656BB3C-1299-4E61-A887-A5F4101AF2AB}" scale="80" hiddenColumns="1">
      <pane ySplit="1" topLeftCell="A2" activePane="bottomLeft" state="frozen"/>
      <selection pane="bottomLeft" activeCell="A2" sqref="A2"/>
      <pageMargins left="0.75" right="0.75" top="1" bottom="1" header="0.5" footer="0.5"/>
    </customSheetView>
    <customSheetView guid="{DB3826DE-0319-4671-8564-0DA8C5492560}" scale="80" hiddenColumns="1">
      <pane ySplit="1" topLeftCell="A2" activePane="bottomLeft" state="frozen"/>
      <selection pane="bottomLeft" activeCell="J30" sqref="J30"/>
      <pageMargins left="0.75" right="0.75" top="1" bottom="1" header="0.5" footer="0.5"/>
      <pageSetup orientation="portrait" horizontalDpi="4294967295" verticalDpi="4294967295" r:id="rId1"/>
    </customSheetView>
  </customSheetViews>
  <dataValidations count="3">
    <dataValidation type="list" allowBlank="1" showInputMessage="1" showErrorMessage="1" sqref="L2:L11">
      <formula1>Returned</formula1>
    </dataValidation>
    <dataValidation type="list" allowBlank="1" showInputMessage="1" showErrorMessage="1" sqref="J2:J11">
      <formula1>BorrowPeriod</formula1>
    </dataValidation>
    <dataValidation type="list" allowBlank="1" showInputMessage="1" showErrorMessage="1" sqref="G2:G11">
      <formula1>ItemType</formula1>
    </dataValidation>
  </dataValidations>
  <pageMargins left="0.75" right="0.75" top="1" bottom="1" header="0.5" footer="0.5"/>
  <pageSetup orientation="portrait" horizontalDpi="4294967295" verticalDpi="4294967295"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>
    <tabColor theme="0" tint="-0.499984740745262"/>
  </sheetPr>
  <dimension ref="A1:N11"/>
  <sheetViews>
    <sheetView zoomScale="90" zoomScaleNormal="90" zoomScalePageLayoutView="90" workbookViewId="0">
      <pane ySplit="1" topLeftCell="A2" activePane="bottomLeft" state="frozen"/>
      <selection pane="bottomLeft" activeCell="J30" sqref="J30"/>
    </sheetView>
  </sheetViews>
  <sheetFormatPr defaultColWidth="9" defaultRowHeight="15.75"/>
  <cols>
    <col min="1" max="1" width="6.5" customWidth="1"/>
    <col min="2" max="2" width="13.375" customWidth="1"/>
    <col min="3" max="4" width="11"/>
    <col min="5" max="5" width="19" customWidth="1"/>
    <col min="6" max="6" width="16.875" customWidth="1"/>
    <col min="7" max="8" width="11"/>
    <col min="9" max="9" width="14.625" customWidth="1"/>
    <col min="10" max="10" width="11"/>
    <col min="11" max="11" width="22" customWidth="1"/>
    <col min="12" max="12" width="12" customWidth="1"/>
    <col min="13" max="13" width="21.625" customWidth="1"/>
    <col min="14" max="14" width="9" hidden="1" customWidth="1"/>
  </cols>
  <sheetData>
    <row r="1" spans="1:14" s="6" customFormat="1" ht="31.5">
      <c r="A1" s="5" t="s">
        <v>129</v>
      </c>
      <c r="B1" s="5" t="s">
        <v>0</v>
      </c>
      <c r="C1" s="5" t="s">
        <v>116</v>
      </c>
      <c r="D1" s="5" t="s">
        <v>117</v>
      </c>
      <c r="E1" s="5" t="s">
        <v>380</v>
      </c>
      <c r="F1" s="5" t="s">
        <v>135</v>
      </c>
      <c r="G1" s="5" t="s">
        <v>1</v>
      </c>
      <c r="H1" s="5" t="s">
        <v>119</v>
      </c>
      <c r="I1" s="5" t="s">
        <v>120</v>
      </c>
      <c r="J1" s="5" t="s">
        <v>130</v>
      </c>
      <c r="K1" s="5" t="s">
        <v>121</v>
      </c>
      <c r="L1" s="5" t="s">
        <v>122</v>
      </c>
      <c r="M1" s="5" t="s">
        <v>131</v>
      </c>
    </row>
    <row r="2" spans="1:14">
      <c r="A2" s="3"/>
      <c r="B2" s="47"/>
      <c r="C2" s="47"/>
      <c r="D2" s="47"/>
      <c r="E2" s="47"/>
      <c r="F2" s="47"/>
      <c r="G2" s="47"/>
      <c r="H2" s="47"/>
      <c r="I2" s="47"/>
      <c r="J2" s="47"/>
      <c r="K2" s="48"/>
      <c r="L2" s="47"/>
      <c r="M2" s="48"/>
      <c r="N2" s="47"/>
    </row>
    <row r="3" spans="1:14">
      <c r="A3" s="3"/>
      <c r="B3" s="47"/>
      <c r="C3" s="47"/>
      <c r="D3" s="47"/>
      <c r="E3" s="47"/>
      <c r="F3" s="47"/>
      <c r="G3" s="47"/>
      <c r="H3" s="47"/>
      <c r="I3" s="47"/>
      <c r="J3" s="47"/>
      <c r="K3" s="48"/>
      <c r="L3" s="47"/>
      <c r="M3" s="48"/>
      <c r="N3" s="47"/>
    </row>
    <row r="4" spans="1:14">
      <c r="A4" s="3"/>
      <c r="B4" s="47"/>
      <c r="C4" s="47"/>
      <c r="D4" s="47"/>
      <c r="E4" s="47"/>
      <c r="F4" s="47"/>
      <c r="G4" s="47"/>
      <c r="H4" s="47"/>
      <c r="I4" s="47"/>
      <c r="J4" s="47"/>
      <c r="K4" s="48"/>
      <c r="L4" s="47"/>
      <c r="M4" s="48"/>
      <c r="N4" s="47"/>
    </row>
    <row r="5" spans="1:14">
      <c r="A5" s="3"/>
      <c r="B5" s="47"/>
      <c r="C5" s="47"/>
      <c r="D5" s="47"/>
      <c r="E5" s="47"/>
      <c r="F5" s="47"/>
      <c r="G5" s="47"/>
      <c r="H5" s="47"/>
      <c r="I5" s="47"/>
      <c r="J5" s="47"/>
      <c r="K5" s="48"/>
      <c r="L5" s="47"/>
      <c r="M5" s="48"/>
      <c r="N5" s="47"/>
    </row>
    <row r="6" spans="1:14">
      <c r="A6" s="3"/>
      <c r="B6" s="47"/>
      <c r="C6" s="47"/>
      <c r="D6" s="47"/>
      <c r="E6" s="47"/>
      <c r="F6" s="47"/>
      <c r="G6" s="47"/>
      <c r="H6" s="47"/>
      <c r="I6" s="47"/>
      <c r="J6" s="47"/>
      <c r="K6" s="48"/>
      <c r="L6" s="47"/>
      <c r="M6" s="48"/>
      <c r="N6" s="47"/>
    </row>
    <row r="7" spans="1:14">
      <c r="A7" s="3"/>
      <c r="B7" s="47"/>
      <c r="C7" s="47"/>
      <c r="D7" s="47"/>
      <c r="E7" s="47"/>
      <c r="F7" s="47"/>
      <c r="G7" s="47"/>
      <c r="H7" s="47"/>
      <c r="I7" s="47"/>
      <c r="J7" s="47"/>
      <c r="K7" s="48"/>
      <c r="L7" s="47"/>
      <c r="M7" s="48"/>
      <c r="N7" s="47"/>
    </row>
    <row r="8" spans="1:14">
      <c r="A8" s="3"/>
      <c r="K8" s="23"/>
      <c r="M8" s="23"/>
    </row>
    <row r="9" spans="1:14">
      <c r="A9" s="3"/>
      <c r="K9" s="23"/>
      <c r="M9" s="23"/>
    </row>
    <row r="10" spans="1:14">
      <c r="A10" s="3"/>
      <c r="K10" s="23"/>
      <c r="M10" s="23"/>
    </row>
    <row r="11" spans="1:14">
      <c r="A11" s="3"/>
      <c r="K11" s="23"/>
      <c r="M11" s="23"/>
    </row>
  </sheetData>
  <sheetProtection formatCells="0" formatColumns="0" formatRows="0"/>
  <protectedRanges>
    <protectedRange sqref="B2:N2" name="Range1_1" securityDescriptor="O:WDG:WDD:(A;;CC;;;S-1-5-21-2765415570-973575261-3607781193-1203)"/>
  </protectedRanges>
  <sortState ref="A2:N11">
    <sortCondition ref="E2"/>
  </sortState>
  <customSheetViews>
    <customSheetView guid="{7656BB3C-1299-4E61-A887-A5F4101AF2AB}" scale="90" hiddenColumns="1">
      <pane ySplit="1" topLeftCell="A2" activePane="bottomLeft" state="frozen"/>
      <selection pane="bottomLeft" activeCell="F30" sqref="F30"/>
      <pageMargins left="0.75" right="0.75" top="1" bottom="1" header="0.5" footer="0.5"/>
    </customSheetView>
    <customSheetView guid="{DB3826DE-0319-4671-8564-0DA8C5492560}" scale="90" hiddenColumns="1">
      <pane ySplit="1" topLeftCell="A2" activePane="bottomLeft" state="frozen"/>
      <selection pane="bottomLeft" activeCell="J30" sqref="J30"/>
      <pageMargins left="0.75" right="0.75" top="1" bottom="1" header="0.5" footer="0.5"/>
      <pageSetup orientation="portrait" horizontalDpi="4294967295" verticalDpi="4294967295" r:id="rId1"/>
    </customSheetView>
  </customSheetViews>
  <dataValidations count="3">
    <dataValidation type="list" allowBlank="1" showInputMessage="1" showErrorMessage="1" sqref="G2:G11">
      <formula1>ItemType</formula1>
    </dataValidation>
    <dataValidation type="list" allowBlank="1" showInputMessage="1" showErrorMessage="1" sqref="J2:J11">
      <formula1>BorrowPeriod</formula1>
    </dataValidation>
    <dataValidation type="list" allowBlank="1" showInputMessage="1" showErrorMessage="1" sqref="L2:L11">
      <formula1>Returned</formula1>
    </dataValidation>
  </dataValidations>
  <pageMargins left="0.75" right="0.75" top="1" bottom="1" header="0.5" footer="0.5"/>
  <pageSetup orientation="portrait" horizontalDpi="4294967295" verticalDpi="4294967295"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>
    <tabColor theme="0" tint="-0.499984740745262"/>
  </sheetPr>
  <dimension ref="A1:N2410"/>
  <sheetViews>
    <sheetView topLeftCell="C1" zoomScale="80" zoomScaleNormal="80" workbookViewId="0">
      <pane ySplit="1" topLeftCell="A2" activePane="bottomLeft" state="frozen"/>
      <selection activeCell="C1" sqref="C1"/>
      <selection pane="bottomLeft" activeCell="J30" sqref="J30"/>
    </sheetView>
  </sheetViews>
  <sheetFormatPr defaultColWidth="9" defaultRowHeight="15.75"/>
  <cols>
    <col min="1" max="1" width="6.5" customWidth="1"/>
    <col min="2" max="2" width="15.125" customWidth="1"/>
    <col min="3" max="8" width="10.875" customWidth="1"/>
    <col min="9" max="9" width="12.625" customWidth="1"/>
    <col min="10" max="10" width="19" customWidth="1"/>
    <col min="11" max="11" width="18.375" customWidth="1"/>
    <col min="12" max="12" width="14.875" customWidth="1"/>
    <col min="13" max="13" width="22" customWidth="1"/>
    <col min="14" max="14" width="9" hidden="1" customWidth="1"/>
  </cols>
  <sheetData>
    <row r="1" spans="1:14" s="6" customFormat="1">
      <c r="A1" s="5" t="s">
        <v>129</v>
      </c>
      <c r="B1" s="5" t="s">
        <v>0</v>
      </c>
      <c r="C1" s="5" t="s">
        <v>116</v>
      </c>
      <c r="D1" s="5" t="s">
        <v>117</v>
      </c>
      <c r="E1" s="5" t="s">
        <v>118</v>
      </c>
      <c r="F1" s="5" t="s">
        <v>135</v>
      </c>
      <c r="G1" s="5" t="s">
        <v>1</v>
      </c>
      <c r="H1" s="5" t="s">
        <v>119</v>
      </c>
      <c r="I1" s="5" t="s">
        <v>120</v>
      </c>
      <c r="J1" s="5" t="s">
        <v>130</v>
      </c>
      <c r="K1" s="5" t="s">
        <v>121</v>
      </c>
      <c r="L1" s="5" t="s">
        <v>122</v>
      </c>
      <c r="M1" s="5" t="s">
        <v>131</v>
      </c>
    </row>
    <row r="2" spans="1:14">
      <c r="A2" s="3"/>
      <c r="B2" s="47"/>
      <c r="C2" s="47"/>
      <c r="D2" s="47"/>
      <c r="E2" s="47"/>
      <c r="F2" s="47"/>
      <c r="G2" s="47"/>
      <c r="H2" s="47"/>
      <c r="I2" s="47"/>
      <c r="J2" s="47"/>
      <c r="K2" s="48"/>
      <c r="L2" s="47"/>
      <c r="M2" s="48"/>
      <c r="N2" s="47"/>
    </row>
    <row r="3" spans="1:14">
      <c r="A3" s="3"/>
      <c r="B3" s="47"/>
      <c r="C3" s="47"/>
      <c r="D3" s="47"/>
      <c r="E3" s="47"/>
      <c r="F3" s="47"/>
      <c r="G3" s="47"/>
      <c r="H3" s="47"/>
      <c r="I3" s="47"/>
      <c r="J3" s="47"/>
      <c r="K3" s="48"/>
      <c r="L3" s="47"/>
      <c r="M3" s="48"/>
      <c r="N3" s="47"/>
    </row>
    <row r="4" spans="1:14">
      <c r="A4" s="3"/>
      <c r="B4" s="47"/>
      <c r="C4" s="47"/>
      <c r="D4" s="47"/>
      <c r="E4" s="47"/>
      <c r="F4" s="47"/>
      <c r="G4" s="47"/>
      <c r="H4" s="47"/>
      <c r="I4" s="47"/>
      <c r="J4" s="47"/>
      <c r="K4" s="48"/>
      <c r="L4" s="47"/>
      <c r="M4" s="48"/>
      <c r="N4" s="47"/>
    </row>
    <row r="5" spans="1:14">
      <c r="A5" s="3"/>
      <c r="B5" s="47"/>
      <c r="C5" s="47"/>
      <c r="D5" s="47"/>
      <c r="E5" s="47"/>
      <c r="F5" s="47"/>
      <c r="G5" s="47"/>
      <c r="H5" s="47"/>
      <c r="I5" s="47"/>
      <c r="J5" s="47"/>
      <c r="K5" s="48"/>
      <c r="L5" s="47"/>
      <c r="M5" s="48"/>
      <c r="N5" s="47"/>
    </row>
    <row r="6" spans="1:14">
      <c r="A6" s="3"/>
      <c r="B6" s="47"/>
      <c r="C6" s="47"/>
      <c r="D6" s="47"/>
      <c r="E6" s="47"/>
      <c r="F6" s="47"/>
      <c r="G6" s="47"/>
      <c r="H6" s="47"/>
      <c r="I6" s="47"/>
      <c r="J6" s="47"/>
      <c r="K6" s="48"/>
      <c r="L6" s="47"/>
      <c r="M6" s="48"/>
      <c r="N6" s="47"/>
    </row>
    <row r="7" spans="1:14">
      <c r="A7" s="3"/>
      <c r="B7" s="47"/>
      <c r="C7" s="47"/>
      <c r="D7" s="47"/>
      <c r="E7" s="47"/>
      <c r="F7" s="47"/>
      <c r="G7" s="47"/>
      <c r="H7" s="47"/>
      <c r="I7" s="47"/>
      <c r="J7" s="47"/>
      <c r="K7" s="48"/>
      <c r="L7" s="47"/>
      <c r="M7" s="48"/>
      <c r="N7" s="47"/>
    </row>
    <row r="8" spans="1:14">
      <c r="A8" s="3"/>
      <c r="K8" s="23"/>
      <c r="M8" s="23"/>
    </row>
    <row r="9" spans="1:14">
      <c r="A9" s="3"/>
      <c r="K9" s="23"/>
      <c r="M9" s="23"/>
    </row>
    <row r="10" spans="1:14">
      <c r="A10" s="3"/>
      <c r="K10" s="23"/>
      <c r="M10" s="23"/>
    </row>
    <row r="11" spans="1:14">
      <c r="A11" s="3"/>
      <c r="K11" s="23"/>
      <c r="M11" s="23"/>
    </row>
    <row r="12" spans="1:14">
      <c r="A12" s="3"/>
      <c r="K12" s="23"/>
      <c r="M12" s="23"/>
    </row>
    <row r="13" spans="1:14">
      <c r="A13" s="3"/>
      <c r="K13" s="23"/>
      <c r="M13" s="23"/>
    </row>
    <row r="14" spans="1:14">
      <c r="A14" s="3"/>
      <c r="K14" s="23"/>
      <c r="M14" s="23"/>
    </row>
    <row r="15" spans="1:14">
      <c r="A15" s="3"/>
      <c r="K15" s="23"/>
      <c r="M15" s="23"/>
    </row>
    <row r="16" spans="1:14">
      <c r="A16" s="3"/>
      <c r="K16" s="23"/>
      <c r="M16" s="23"/>
    </row>
    <row r="17" spans="1:13">
      <c r="A17" s="3"/>
      <c r="K17" s="23"/>
      <c r="M17" s="23"/>
    </row>
    <row r="18" spans="1:13">
      <c r="A18" s="3"/>
      <c r="K18" s="23"/>
      <c r="M18" s="23"/>
    </row>
    <row r="19" spans="1:13">
      <c r="A19" s="3"/>
      <c r="K19" s="23"/>
      <c r="M19" s="23"/>
    </row>
    <row r="20" spans="1:13">
      <c r="A20" s="3"/>
      <c r="K20" s="23"/>
      <c r="M20" s="23"/>
    </row>
    <row r="21" spans="1:13">
      <c r="A21" s="3"/>
      <c r="K21" s="23"/>
      <c r="M21" s="23"/>
    </row>
    <row r="22" spans="1:13">
      <c r="A22" s="3"/>
      <c r="K22" s="23"/>
      <c r="M22" s="23"/>
    </row>
    <row r="23" spans="1:13">
      <c r="A23" s="3"/>
      <c r="J23" s="1"/>
    </row>
    <row r="24" spans="1:13">
      <c r="A24" s="3"/>
      <c r="J24" s="1"/>
    </row>
    <row r="25" spans="1:13">
      <c r="A25" s="3"/>
      <c r="J25" s="1"/>
    </row>
    <row r="26" spans="1:13">
      <c r="A26" s="3"/>
      <c r="J26" s="1"/>
    </row>
    <row r="27" spans="1:13">
      <c r="A27" s="3"/>
      <c r="J27" s="1"/>
    </row>
    <row r="28" spans="1:13">
      <c r="A28" s="3"/>
      <c r="J28" s="1"/>
    </row>
    <row r="29" spans="1:13">
      <c r="A29" s="3"/>
      <c r="J29" s="1"/>
    </row>
    <row r="30" spans="1:13">
      <c r="A30" s="3"/>
      <c r="J30" s="1"/>
    </row>
    <row r="31" spans="1:13">
      <c r="A31" s="3"/>
      <c r="J31" s="1"/>
    </row>
    <row r="32" spans="1:13">
      <c r="A32" s="3"/>
      <c r="J32" s="1"/>
    </row>
    <row r="33" spans="1:10">
      <c r="A33" s="3"/>
      <c r="J33" s="1"/>
    </row>
    <row r="34" spans="1:10">
      <c r="A34" s="3"/>
      <c r="J34" s="1"/>
    </row>
    <row r="35" spans="1:10">
      <c r="A35" s="3"/>
      <c r="J35" s="1"/>
    </row>
    <row r="36" spans="1:10">
      <c r="A36" s="3"/>
      <c r="J36" s="1"/>
    </row>
    <row r="37" spans="1:10">
      <c r="A37" s="3"/>
      <c r="J37" s="1"/>
    </row>
    <row r="38" spans="1:10">
      <c r="A38" s="3"/>
      <c r="J38" s="1"/>
    </row>
    <row r="39" spans="1:10">
      <c r="A39" s="3"/>
      <c r="J39" s="1"/>
    </row>
    <row r="40" spans="1:10">
      <c r="A40" s="3"/>
      <c r="J40" s="1"/>
    </row>
    <row r="41" spans="1:10">
      <c r="A41" s="3"/>
      <c r="J41" s="1"/>
    </row>
    <row r="42" spans="1:10">
      <c r="A42" s="3"/>
      <c r="J42" s="1"/>
    </row>
    <row r="43" spans="1:10">
      <c r="A43" s="3"/>
      <c r="J43" s="1"/>
    </row>
    <row r="44" spans="1:10">
      <c r="A44" s="3"/>
      <c r="J44" s="1"/>
    </row>
    <row r="45" spans="1:10">
      <c r="A45" s="3"/>
      <c r="J45" s="1"/>
    </row>
    <row r="46" spans="1:10">
      <c r="A46" s="3"/>
      <c r="J46" s="1"/>
    </row>
    <row r="47" spans="1:10">
      <c r="A47" s="3"/>
      <c r="J47" s="1"/>
    </row>
    <row r="48" spans="1:10">
      <c r="A48" s="3"/>
      <c r="J48" s="1"/>
    </row>
    <row r="49" spans="1:10">
      <c r="A49" s="3"/>
      <c r="J49" s="1"/>
    </row>
    <row r="50" spans="1:10">
      <c r="A50" s="3"/>
      <c r="J50" s="1"/>
    </row>
    <row r="51" spans="1:10">
      <c r="A51" s="3"/>
      <c r="J51" s="1"/>
    </row>
    <row r="52" spans="1:10">
      <c r="A52" s="3"/>
      <c r="J52" s="1"/>
    </row>
    <row r="53" spans="1:10">
      <c r="A53" s="3"/>
      <c r="J53" s="1"/>
    </row>
    <row r="54" spans="1:10">
      <c r="A54" s="3"/>
      <c r="J54" s="1"/>
    </row>
    <row r="55" spans="1:10">
      <c r="A55" s="3"/>
      <c r="J55" s="1"/>
    </row>
    <row r="56" spans="1:10">
      <c r="A56" s="3"/>
      <c r="J56" s="1"/>
    </row>
    <row r="57" spans="1:10">
      <c r="A57" s="3"/>
      <c r="J57" s="1"/>
    </row>
    <row r="58" spans="1:10">
      <c r="A58" s="3"/>
      <c r="J58" s="1"/>
    </row>
    <row r="59" spans="1:10">
      <c r="A59" s="3"/>
      <c r="J59" s="1"/>
    </row>
    <row r="60" spans="1:10">
      <c r="A60" s="3"/>
      <c r="J60" s="1"/>
    </row>
    <row r="61" spans="1:10">
      <c r="A61" s="3"/>
      <c r="J61" s="1"/>
    </row>
    <row r="62" spans="1:10">
      <c r="A62" s="3"/>
      <c r="J62" s="1"/>
    </row>
    <row r="63" spans="1:10">
      <c r="A63" s="3"/>
      <c r="J63" s="1"/>
    </row>
    <row r="64" spans="1:10">
      <c r="A64" s="3"/>
      <c r="J64" s="1"/>
    </row>
    <row r="65" spans="1:10">
      <c r="A65" s="3"/>
      <c r="J65" s="1"/>
    </row>
    <row r="66" spans="1:10">
      <c r="A66" s="3"/>
      <c r="J66" s="1"/>
    </row>
    <row r="67" spans="1:10">
      <c r="A67" s="3"/>
      <c r="J67" s="1"/>
    </row>
    <row r="68" spans="1:10">
      <c r="A68" s="3"/>
      <c r="J68" s="1"/>
    </row>
    <row r="69" spans="1:10">
      <c r="A69" s="3"/>
      <c r="J69" s="1"/>
    </row>
    <row r="70" spans="1:10">
      <c r="A70" s="3"/>
      <c r="J70" s="1"/>
    </row>
    <row r="71" spans="1:10">
      <c r="A71" s="3"/>
      <c r="J71" s="1"/>
    </row>
    <row r="72" spans="1:10">
      <c r="A72" s="3"/>
      <c r="J72" s="1"/>
    </row>
    <row r="73" spans="1:10">
      <c r="A73" s="3"/>
      <c r="J73" s="1"/>
    </row>
    <row r="74" spans="1:10">
      <c r="A74" s="3"/>
      <c r="J74" s="1"/>
    </row>
    <row r="75" spans="1:10">
      <c r="A75" s="3"/>
      <c r="J75" s="1"/>
    </row>
    <row r="76" spans="1:10">
      <c r="A76" s="3"/>
      <c r="J76" s="1"/>
    </row>
    <row r="77" spans="1:10">
      <c r="A77" s="3"/>
      <c r="J77" s="1"/>
    </row>
    <row r="78" spans="1:10">
      <c r="A78" s="3"/>
      <c r="J78" s="1"/>
    </row>
    <row r="79" spans="1:10">
      <c r="A79" s="3"/>
      <c r="J79" s="1"/>
    </row>
    <row r="80" spans="1:10">
      <c r="A80" s="3"/>
      <c r="J80" s="1"/>
    </row>
    <row r="81" spans="1:10">
      <c r="A81" s="3"/>
      <c r="J81" s="1"/>
    </row>
    <row r="82" spans="1:10">
      <c r="A82" s="3"/>
      <c r="J82" s="1"/>
    </row>
    <row r="83" spans="1:10">
      <c r="A83" s="3"/>
      <c r="J83" s="1"/>
    </row>
    <row r="84" spans="1:10">
      <c r="A84" s="3"/>
      <c r="J84" s="1"/>
    </row>
    <row r="85" spans="1:10">
      <c r="A85" s="3"/>
      <c r="J85" s="1"/>
    </row>
    <row r="86" spans="1:10">
      <c r="A86" s="3"/>
      <c r="J86" s="1"/>
    </row>
    <row r="87" spans="1:10">
      <c r="A87" s="3"/>
      <c r="J87" s="1"/>
    </row>
    <row r="88" spans="1:10">
      <c r="A88" s="3"/>
      <c r="J88" s="1"/>
    </row>
    <row r="89" spans="1:10">
      <c r="A89" s="3"/>
      <c r="J89" s="1"/>
    </row>
    <row r="90" spans="1:10">
      <c r="A90" s="3"/>
      <c r="J90" s="1"/>
    </row>
    <row r="91" spans="1:10">
      <c r="A91" s="3"/>
      <c r="J91" s="1"/>
    </row>
    <row r="92" spans="1:10">
      <c r="A92" s="3"/>
      <c r="J92" s="1"/>
    </row>
    <row r="93" spans="1:10">
      <c r="A93" s="3"/>
      <c r="J93" s="1"/>
    </row>
    <row r="94" spans="1:10">
      <c r="A94" s="3"/>
      <c r="J94" s="1"/>
    </row>
    <row r="95" spans="1:10">
      <c r="A95" s="3"/>
      <c r="J95" s="1"/>
    </row>
    <row r="96" spans="1:10">
      <c r="A96" s="3"/>
      <c r="J96" s="1"/>
    </row>
    <row r="97" spans="1:10">
      <c r="A97" s="3"/>
      <c r="J97" s="1"/>
    </row>
    <row r="98" spans="1:10">
      <c r="A98" s="3"/>
      <c r="J98" s="1"/>
    </row>
    <row r="99" spans="1:10">
      <c r="A99" s="3"/>
      <c r="J99" s="1"/>
    </row>
    <row r="100" spans="1:10">
      <c r="A100" s="3"/>
      <c r="J100" s="1"/>
    </row>
    <row r="101" spans="1:10">
      <c r="A101" s="3"/>
      <c r="J101" s="1"/>
    </row>
    <row r="102" spans="1:10">
      <c r="A102" s="3"/>
      <c r="J102" s="1"/>
    </row>
    <row r="103" spans="1:10">
      <c r="A103" s="3"/>
      <c r="J103" s="1"/>
    </row>
    <row r="104" spans="1:10">
      <c r="A104" s="3"/>
      <c r="J104" s="1"/>
    </row>
    <row r="105" spans="1:10">
      <c r="A105" s="3"/>
      <c r="J105" s="1"/>
    </row>
    <row r="106" spans="1:10">
      <c r="A106" s="3"/>
      <c r="J106" s="1"/>
    </row>
    <row r="107" spans="1:10">
      <c r="A107" s="3"/>
      <c r="J107" s="1"/>
    </row>
    <row r="108" spans="1:10">
      <c r="A108" s="3"/>
      <c r="J108" s="1"/>
    </row>
    <row r="109" spans="1:10">
      <c r="A109" s="3"/>
      <c r="J109" s="1"/>
    </row>
    <row r="110" spans="1:10">
      <c r="A110" s="3"/>
      <c r="J110" s="1"/>
    </row>
    <row r="111" spans="1:10">
      <c r="A111" s="3"/>
      <c r="J111" s="1"/>
    </row>
    <row r="112" spans="1:10">
      <c r="A112" s="3"/>
      <c r="J112" s="1"/>
    </row>
    <row r="113" spans="1:10">
      <c r="A113" s="3"/>
      <c r="J113" s="1"/>
    </row>
    <row r="114" spans="1:10">
      <c r="A114" s="3"/>
      <c r="J114" s="1"/>
    </row>
    <row r="115" spans="1:10">
      <c r="A115" s="3"/>
      <c r="J115" s="1"/>
    </row>
    <row r="116" spans="1:10">
      <c r="A116" s="3"/>
      <c r="J116" s="1"/>
    </row>
    <row r="117" spans="1:10">
      <c r="A117" s="3"/>
      <c r="J117" s="1"/>
    </row>
    <row r="118" spans="1:10">
      <c r="A118" s="3"/>
      <c r="J118" s="1"/>
    </row>
    <row r="119" spans="1:10">
      <c r="A119" s="3"/>
      <c r="J119" s="1"/>
    </row>
    <row r="120" spans="1:10">
      <c r="A120" s="3"/>
      <c r="J120" s="1"/>
    </row>
    <row r="121" spans="1:10">
      <c r="A121" s="3"/>
      <c r="J121" s="1"/>
    </row>
    <row r="122" spans="1:10">
      <c r="A122" s="3"/>
      <c r="J122" s="1"/>
    </row>
    <row r="123" spans="1:10">
      <c r="A123" s="3"/>
      <c r="J123" s="1"/>
    </row>
    <row r="124" spans="1:10">
      <c r="A124" s="3"/>
      <c r="J124" s="1"/>
    </row>
    <row r="125" spans="1:10">
      <c r="A125" s="3"/>
      <c r="J125" s="1"/>
    </row>
    <row r="126" spans="1:10">
      <c r="A126" s="3"/>
      <c r="J126" s="1"/>
    </row>
    <row r="127" spans="1:10">
      <c r="A127" s="3"/>
      <c r="J127" s="1"/>
    </row>
    <row r="128" spans="1:10">
      <c r="A128" s="3"/>
      <c r="J128" s="1"/>
    </row>
    <row r="129" spans="1:10">
      <c r="A129" s="3"/>
      <c r="J129" s="1"/>
    </row>
    <row r="130" spans="1:10">
      <c r="A130" s="3"/>
      <c r="J130" s="1"/>
    </row>
    <row r="131" spans="1:10">
      <c r="A131" s="3"/>
      <c r="J131" s="1"/>
    </row>
    <row r="132" spans="1:10">
      <c r="A132" s="3"/>
      <c r="J132" s="1"/>
    </row>
    <row r="133" spans="1:10">
      <c r="A133" s="3"/>
      <c r="J133" s="1"/>
    </row>
    <row r="134" spans="1:10">
      <c r="A134" s="3"/>
      <c r="J134" s="1"/>
    </row>
    <row r="135" spans="1:10">
      <c r="A135" s="3"/>
      <c r="J135" s="1"/>
    </row>
    <row r="136" spans="1:10">
      <c r="A136" s="3"/>
      <c r="J136" s="1"/>
    </row>
    <row r="137" spans="1:10">
      <c r="A137" s="3"/>
      <c r="J137" s="1"/>
    </row>
    <row r="138" spans="1:10">
      <c r="A138" s="3"/>
      <c r="J138" s="1"/>
    </row>
    <row r="139" spans="1:10">
      <c r="A139" s="3"/>
      <c r="J139" s="1"/>
    </row>
    <row r="140" spans="1:10">
      <c r="A140" s="3"/>
      <c r="J140" s="1"/>
    </row>
    <row r="141" spans="1:10">
      <c r="A141" s="3"/>
      <c r="J141" s="1"/>
    </row>
    <row r="142" spans="1:10">
      <c r="A142" s="3"/>
      <c r="J142" s="1"/>
    </row>
    <row r="143" spans="1:10">
      <c r="A143" s="3"/>
      <c r="J143" s="1"/>
    </row>
    <row r="144" spans="1:10">
      <c r="A144" s="3"/>
      <c r="J144" s="1"/>
    </row>
    <row r="145" spans="1:10">
      <c r="A145" s="3"/>
      <c r="J145" s="1"/>
    </row>
    <row r="146" spans="1:10">
      <c r="A146" s="3"/>
      <c r="J146" s="1"/>
    </row>
    <row r="147" spans="1:10">
      <c r="A147" s="3"/>
      <c r="J147" s="1"/>
    </row>
    <row r="148" spans="1:10">
      <c r="A148" s="3"/>
      <c r="J148" s="1"/>
    </row>
    <row r="149" spans="1:10">
      <c r="A149" s="3"/>
      <c r="J149" s="1"/>
    </row>
    <row r="150" spans="1:10">
      <c r="A150" s="3"/>
      <c r="J150" s="1"/>
    </row>
    <row r="151" spans="1:10">
      <c r="A151" s="3"/>
      <c r="J151" s="1"/>
    </row>
    <row r="152" spans="1:10">
      <c r="A152" s="3"/>
      <c r="J152" s="1"/>
    </row>
    <row r="153" spans="1:10">
      <c r="A153" s="3"/>
      <c r="J153" s="1"/>
    </row>
    <row r="154" spans="1:10">
      <c r="A154" s="3"/>
      <c r="J154" s="1"/>
    </row>
    <row r="155" spans="1:10">
      <c r="A155" s="3"/>
      <c r="J155" s="1"/>
    </row>
    <row r="156" spans="1:10">
      <c r="A156" s="3"/>
      <c r="J156" s="1"/>
    </row>
    <row r="157" spans="1:10">
      <c r="A157" s="3"/>
      <c r="J157" s="1"/>
    </row>
    <row r="158" spans="1:10">
      <c r="A158" s="3"/>
      <c r="J158" s="1"/>
    </row>
    <row r="159" spans="1:10">
      <c r="A159" s="3"/>
      <c r="J159" s="1"/>
    </row>
    <row r="160" spans="1:10">
      <c r="A160" s="3"/>
      <c r="J160" s="1"/>
    </row>
    <row r="161" spans="1:10">
      <c r="A161" s="3"/>
      <c r="J161" s="1"/>
    </row>
    <row r="162" spans="1:10">
      <c r="A162" s="3"/>
      <c r="J162" s="1"/>
    </row>
    <row r="163" spans="1:10">
      <c r="A163" s="3"/>
      <c r="J163" s="1"/>
    </row>
    <row r="164" spans="1:10">
      <c r="A164" s="3"/>
      <c r="J164" s="1"/>
    </row>
    <row r="165" spans="1:10">
      <c r="A165" s="3"/>
      <c r="J165" s="1"/>
    </row>
    <row r="166" spans="1:10">
      <c r="A166" s="3"/>
      <c r="J166" s="1"/>
    </row>
    <row r="167" spans="1:10">
      <c r="A167" s="3"/>
      <c r="J167" s="1"/>
    </row>
    <row r="168" spans="1:10">
      <c r="A168" s="3"/>
      <c r="J168" s="1"/>
    </row>
    <row r="169" spans="1:10">
      <c r="A169" s="3"/>
      <c r="J169" s="1"/>
    </row>
    <row r="170" spans="1:10">
      <c r="A170" s="3"/>
      <c r="J170" s="1"/>
    </row>
    <row r="171" spans="1:10">
      <c r="A171" s="3"/>
      <c r="J171" s="1"/>
    </row>
    <row r="172" spans="1:10">
      <c r="A172" s="3"/>
      <c r="J172" s="1"/>
    </row>
    <row r="173" spans="1:10">
      <c r="A173" s="3"/>
      <c r="J173" s="1"/>
    </row>
    <row r="174" spans="1:10">
      <c r="A174" s="3"/>
      <c r="J174" s="1"/>
    </row>
    <row r="175" spans="1:10">
      <c r="A175" s="3"/>
      <c r="J175" s="1"/>
    </row>
    <row r="176" spans="1:10">
      <c r="A176" s="3"/>
      <c r="J176" s="1"/>
    </row>
    <row r="177" spans="1:10">
      <c r="A177" s="3"/>
      <c r="J177" s="1"/>
    </row>
    <row r="178" spans="1:10">
      <c r="A178" s="3"/>
      <c r="J178" s="1"/>
    </row>
    <row r="179" spans="1:10">
      <c r="A179" s="3"/>
      <c r="J179" s="1"/>
    </row>
    <row r="180" spans="1:10">
      <c r="A180" s="3"/>
      <c r="J180" s="1"/>
    </row>
    <row r="181" spans="1:10">
      <c r="A181" s="3"/>
      <c r="J181" s="1"/>
    </row>
    <row r="182" spans="1:10">
      <c r="A182" s="3"/>
      <c r="J182" s="1"/>
    </row>
    <row r="183" spans="1:10">
      <c r="A183" s="3"/>
      <c r="J183" s="1"/>
    </row>
    <row r="184" spans="1:10">
      <c r="A184" s="3"/>
      <c r="J184" s="1"/>
    </row>
    <row r="185" spans="1:10">
      <c r="A185" s="3"/>
      <c r="J185" s="1"/>
    </row>
    <row r="186" spans="1:10">
      <c r="A186" s="3"/>
      <c r="J186" s="1"/>
    </row>
    <row r="187" spans="1:10">
      <c r="A187" s="3"/>
      <c r="J187" s="1"/>
    </row>
    <row r="188" spans="1:10">
      <c r="A188" s="3"/>
      <c r="J188" s="1"/>
    </row>
    <row r="189" spans="1:10">
      <c r="A189" s="3"/>
      <c r="J189" s="1"/>
    </row>
    <row r="190" spans="1:10">
      <c r="A190" s="3"/>
      <c r="J190" s="1"/>
    </row>
    <row r="191" spans="1:10">
      <c r="A191" s="3"/>
      <c r="J191" s="1"/>
    </row>
    <row r="192" spans="1:10">
      <c r="A192" s="3"/>
      <c r="J192" s="1"/>
    </row>
    <row r="193" spans="1:10">
      <c r="A193" s="3"/>
      <c r="J193" s="1"/>
    </row>
    <row r="194" spans="1:10">
      <c r="A194" s="3"/>
      <c r="J194" s="1"/>
    </row>
    <row r="195" spans="1:10">
      <c r="A195" s="3"/>
      <c r="J195" s="1"/>
    </row>
    <row r="196" spans="1:10">
      <c r="A196" s="3"/>
      <c r="J196" s="1"/>
    </row>
    <row r="197" spans="1:10">
      <c r="A197" s="3"/>
      <c r="J197" s="1"/>
    </row>
    <row r="198" spans="1:10">
      <c r="A198" s="3"/>
      <c r="J198" s="1"/>
    </row>
    <row r="199" spans="1:10">
      <c r="A199" s="3"/>
      <c r="J199" s="1"/>
    </row>
    <row r="200" spans="1:10">
      <c r="A200" s="3"/>
      <c r="J200" s="1"/>
    </row>
    <row r="201" spans="1:10">
      <c r="A201" s="3"/>
      <c r="J201" s="1"/>
    </row>
    <row r="202" spans="1:10">
      <c r="A202" s="3"/>
      <c r="J202" s="1"/>
    </row>
    <row r="203" spans="1:10">
      <c r="A203" s="3"/>
      <c r="J203" s="1"/>
    </row>
    <row r="204" spans="1:10">
      <c r="A204" s="3"/>
      <c r="J204" s="1"/>
    </row>
    <row r="205" spans="1:10">
      <c r="A205" s="3"/>
      <c r="J205" s="1"/>
    </row>
    <row r="206" spans="1:10">
      <c r="A206" s="3"/>
      <c r="J206" s="1"/>
    </row>
    <row r="207" spans="1:10">
      <c r="A207" s="3"/>
      <c r="J207" s="1"/>
    </row>
    <row r="208" spans="1:10">
      <c r="A208" s="3"/>
      <c r="J208" s="1"/>
    </row>
    <row r="209" spans="1:10">
      <c r="A209" s="3"/>
      <c r="J209" s="1"/>
    </row>
    <row r="210" spans="1:10">
      <c r="A210" s="3"/>
      <c r="J210" s="1"/>
    </row>
    <row r="211" spans="1:10">
      <c r="A211" s="3"/>
      <c r="J211" s="1"/>
    </row>
    <row r="212" spans="1:10">
      <c r="A212" s="3"/>
      <c r="J212" s="1"/>
    </row>
    <row r="213" spans="1:10">
      <c r="A213" s="3"/>
      <c r="J213" s="1"/>
    </row>
    <row r="214" spans="1:10">
      <c r="A214" s="3"/>
      <c r="J214" s="1"/>
    </row>
    <row r="215" spans="1:10">
      <c r="A215" s="3"/>
      <c r="J215" s="1"/>
    </row>
    <row r="216" spans="1:10">
      <c r="A216" s="3"/>
      <c r="J216" s="1"/>
    </row>
    <row r="217" spans="1:10">
      <c r="A217" s="3"/>
      <c r="J217" s="1"/>
    </row>
    <row r="218" spans="1:10">
      <c r="A218" s="3"/>
      <c r="J218" s="1"/>
    </row>
    <row r="219" spans="1:10">
      <c r="A219" s="3"/>
      <c r="J219" s="1"/>
    </row>
    <row r="220" spans="1:10">
      <c r="A220" s="3"/>
      <c r="J220" s="1"/>
    </row>
    <row r="221" spans="1:10">
      <c r="A221" s="3"/>
      <c r="J221" s="1"/>
    </row>
    <row r="222" spans="1:10">
      <c r="A222" s="3"/>
      <c r="J222" s="1"/>
    </row>
    <row r="223" spans="1:10">
      <c r="A223" s="3"/>
      <c r="J223" s="1"/>
    </row>
    <row r="224" spans="1:10">
      <c r="A224" s="3"/>
      <c r="J224" s="1"/>
    </row>
    <row r="225" spans="1:10">
      <c r="A225" s="3"/>
      <c r="J225" s="1"/>
    </row>
    <row r="226" spans="1:10">
      <c r="A226" s="3"/>
      <c r="J226" s="1"/>
    </row>
    <row r="227" spans="1:10">
      <c r="A227" s="3"/>
      <c r="J227" s="1"/>
    </row>
    <row r="228" spans="1:10">
      <c r="A228" s="3"/>
      <c r="J228" s="1"/>
    </row>
    <row r="229" spans="1:10">
      <c r="A229" s="3"/>
      <c r="J229" s="1"/>
    </row>
    <row r="230" spans="1:10">
      <c r="A230" s="3"/>
      <c r="J230" s="1"/>
    </row>
    <row r="231" spans="1:10">
      <c r="A231" s="3"/>
      <c r="J231" s="1"/>
    </row>
    <row r="232" spans="1:10">
      <c r="A232" s="3"/>
      <c r="J232" s="1"/>
    </row>
    <row r="233" spans="1:10">
      <c r="A233" s="3"/>
      <c r="J233" s="1"/>
    </row>
    <row r="234" spans="1:10">
      <c r="A234" s="3"/>
      <c r="J234" s="1"/>
    </row>
    <row r="235" spans="1:10">
      <c r="A235" s="3"/>
      <c r="J235" s="1"/>
    </row>
    <row r="236" spans="1:10">
      <c r="A236" s="3"/>
      <c r="J236" s="1"/>
    </row>
    <row r="237" spans="1:10">
      <c r="A237" s="3"/>
      <c r="J237" s="1"/>
    </row>
    <row r="238" spans="1:10">
      <c r="A238" s="3"/>
      <c r="J238" s="1"/>
    </row>
    <row r="239" spans="1:10">
      <c r="A239" s="3"/>
      <c r="J239" s="1"/>
    </row>
    <row r="240" spans="1:10">
      <c r="A240" s="3"/>
      <c r="J240" s="1"/>
    </row>
    <row r="241" spans="1:10">
      <c r="A241" s="3"/>
      <c r="J241" s="1"/>
    </row>
    <row r="242" spans="1:10">
      <c r="A242" s="3"/>
      <c r="J242" s="1"/>
    </row>
    <row r="243" spans="1:10">
      <c r="A243" s="3"/>
      <c r="J243" s="1"/>
    </row>
    <row r="244" spans="1:10">
      <c r="A244" s="3"/>
      <c r="J244" s="1"/>
    </row>
    <row r="245" spans="1:10">
      <c r="A245" s="3"/>
      <c r="J245" s="1"/>
    </row>
    <row r="246" spans="1:10">
      <c r="A246" s="3"/>
      <c r="J246" s="1"/>
    </row>
    <row r="247" spans="1:10">
      <c r="A247" s="3"/>
      <c r="J247" s="1"/>
    </row>
    <row r="248" spans="1:10">
      <c r="A248" s="3"/>
      <c r="J248" s="1"/>
    </row>
    <row r="249" spans="1:10">
      <c r="A249" s="3"/>
      <c r="J249" s="1"/>
    </row>
    <row r="250" spans="1:10">
      <c r="A250" s="3"/>
      <c r="J250" s="1"/>
    </row>
    <row r="251" spans="1:10">
      <c r="A251" s="3"/>
      <c r="J251" s="1"/>
    </row>
    <row r="252" spans="1:10">
      <c r="A252" s="3"/>
      <c r="J252" s="1"/>
    </row>
    <row r="253" spans="1:10">
      <c r="A253" s="3"/>
      <c r="J253" s="1"/>
    </row>
    <row r="254" spans="1:10">
      <c r="A254" s="3"/>
      <c r="J254" s="1"/>
    </row>
    <row r="255" spans="1:10">
      <c r="A255" s="3"/>
      <c r="J255" s="1"/>
    </row>
    <row r="256" spans="1:10">
      <c r="A256" s="3"/>
      <c r="J256" s="1"/>
    </row>
    <row r="257" spans="1:10">
      <c r="A257" s="3"/>
      <c r="J257" s="1"/>
    </row>
    <row r="258" spans="1:10">
      <c r="A258" s="3"/>
      <c r="J258" s="1"/>
    </row>
    <row r="259" spans="1:10">
      <c r="A259" s="3"/>
      <c r="J259" s="1"/>
    </row>
    <row r="260" spans="1:10">
      <c r="A260" s="3"/>
      <c r="J260" s="1"/>
    </row>
    <row r="261" spans="1:10">
      <c r="A261" s="3"/>
      <c r="J261" s="1"/>
    </row>
    <row r="262" spans="1:10">
      <c r="A262" s="3"/>
      <c r="J262" s="1"/>
    </row>
    <row r="263" spans="1:10">
      <c r="A263" s="3"/>
      <c r="J263" s="1"/>
    </row>
    <row r="264" spans="1:10">
      <c r="A264" s="3"/>
      <c r="J264" s="1"/>
    </row>
    <row r="265" spans="1:10">
      <c r="A265" s="3"/>
      <c r="J265" s="1"/>
    </row>
    <row r="266" spans="1:10">
      <c r="A266" s="3"/>
      <c r="J266" s="1"/>
    </row>
    <row r="267" spans="1:10">
      <c r="A267" s="3"/>
      <c r="J267" s="1"/>
    </row>
    <row r="268" spans="1:10">
      <c r="A268" s="3"/>
      <c r="J268" s="1"/>
    </row>
    <row r="269" spans="1:10">
      <c r="A269" s="3"/>
      <c r="J269" s="1"/>
    </row>
    <row r="270" spans="1:10">
      <c r="A270" s="3"/>
      <c r="J270" s="1"/>
    </row>
    <row r="271" spans="1:10">
      <c r="A271" s="3"/>
      <c r="J271" s="1"/>
    </row>
    <row r="272" spans="1:10">
      <c r="A272" s="3"/>
      <c r="J272" s="1"/>
    </row>
    <row r="273" spans="1:10">
      <c r="A273" s="3"/>
      <c r="J273" s="1"/>
    </row>
    <row r="274" spans="1:10">
      <c r="A274" s="3"/>
      <c r="J274" s="1"/>
    </row>
    <row r="275" spans="1:10">
      <c r="A275" s="3"/>
      <c r="J275" s="1"/>
    </row>
    <row r="276" spans="1:10">
      <c r="A276" s="3"/>
      <c r="J276" s="1"/>
    </row>
    <row r="277" spans="1:10">
      <c r="A277" s="3"/>
      <c r="J277" s="1"/>
    </row>
    <row r="278" spans="1:10">
      <c r="A278" s="3"/>
      <c r="J278" s="1"/>
    </row>
    <row r="279" spans="1:10">
      <c r="A279" s="3"/>
      <c r="J279" s="1"/>
    </row>
    <row r="280" spans="1:10">
      <c r="A280" s="3"/>
      <c r="J280" s="1"/>
    </row>
    <row r="281" spans="1:10">
      <c r="A281" s="3"/>
      <c r="J281" s="1"/>
    </row>
    <row r="282" spans="1:10">
      <c r="A282" s="3"/>
      <c r="J282" s="1"/>
    </row>
    <row r="283" spans="1:10">
      <c r="A283" s="3"/>
      <c r="J283" s="1"/>
    </row>
    <row r="284" spans="1:10">
      <c r="A284" s="3"/>
      <c r="J284" s="1"/>
    </row>
    <row r="285" spans="1:10">
      <c r="A285" s="3"/>
      <c r="J285" s="1"/>
    </row>
    <row r="286" spans="1:10">
      <c r="A286" s="3"/>
      <c r="J286" s="1"/>
    </row>
    <row r="287" spans="1:10">
      <c r="A287" s="3"/>
      <c r="J287" s="1"/>
    </row>
    <row r="288" spans="1:10">
      <c r="A288" s="3"/>
      <c r="J288" s="1"/>
    </row>
    <row r="289" spans="1:10">
      <c r="A289" s="3"/>
      <c r="J289" s="1"/>
    </row>
    <row r="290" spans="1:10">
      <c r="A290" s="3"/>
      <c r="J290" s="1"/>
    </row>
    <row r="291" spans="1:10">
      <c r="A291" s="3"/>
      <c r="J291" s="1"/>
    </row>
    <row r="292" spans="1:10">
      <c r="A292" s="3"/>
      <c r="J292" s="1"/>
    </row>
    <row r="293" spans="1:10">
      <c r="A293" s="3"/>
      <c r="J293" s="1"/>
    </row>
    <row r="294" spans="1:10">
      <c r="A294" s="3"/>
      <c r="J294" s="1"/>
    </row>
    <row r="295" spans="1:10">
      <c r="A295" s="3"/>
      <c r="J295" s="1"/>
    </row>
    <row r="296" spans="1:10">
      <c r="A296" s="3"/>
      <c r="J296" s="1"/>
    </row>
    <row r="297" spans="1:10">
      <c r="A297" s="3"/>
      <c r="J297" s="1"/>
    </row>
    <row r="298" spans="1:10">
      <c r="A298" s="3"/>
      <c r="J298" s="1"/>
    </row>
    <row r="299" spans="1:10">
      <c r="A299" s="3"/>
      <c r="J299" s="1"/>
    </row>
    <row r="300" spans="1:10">
      <c r="A300" s="3"/>
      <c r="J300" s="1"/>
    </row>
    <row r="301" spans="1:10">
      <c r="A301" s="3"/>
      <c r="J301" s="1"/>
    </row>
    <row r="302" spans="1:10">
      <c r="A302" s="3"/>
      <c r="J302" s="1"/>
    </row>
    <row r="303" spans="1:10">
      <c r="A303" s="3"/>
      <c r="J303" s="1"/>
    </row>
    <row r="304" spans="1:10">
      <c r="A304" s="3"/>
      <c r="J304" s="1"/>
    </row>
    <row r="305" spans="1:10">
      <c r="A305" s="3"/>
      <c r="J305" s="1"/>
    </row>
    <row r="306" spans="1:10">
      <c r="A306" s="3"/>
      <c r="J306" s="1"/>
    </row>
    <row r="307" spans="1:10">
      <c r="A307" s="3"/>
      <c r="J307" s="1"/>
    </row>
    <row r="308" spans="1:10">
      <c r="A308" s="3"/>
      <c r="J308" s="1"/>
    </row>
    <row r="309" spans="1:10">
      <c r="A309" s="3"/>
      <c r="J309" s="1"/>
    </row>
    <row r="310" spans="1:10">
      <c r="A310" s="3"/>
      <c r="J310" s="1"/>
    </row>
    <row r="311" spans="1:10">
      <c r="A311" s="3"/>
      <c r="J311" s="1"/>
    </row>
    <row r="312" spans="1:10">
      <c r="A312" s="3"/>
      <c r="J312" s="1"/>
    </row>
    <row r="313" spans="1:10">
      <c r="A313" s="3"/>
      <c r="J313" s="1"/>
    </row>
    <row r="314" spans="1:10">
      <c r="A314" s="3"/>
      <c r="J314" s="1"/>
    </row>
    <row r="315" spans="1:10">
      <c r="A315" s="3"/>
      <c r="J315" s="1"/>
    </row>
    <row r="316" spans="1:10">
      <c r="A316" s="3"/>
      <c r="J316" s="1"/>
    </row>
    <row r="317" spans="1:10">
      <c r="A317" s="3"/>
      <c r="J317" s="1"/>
    </row>
    <row r="318" spans="1:10">
      <c r="A318" s="3"/>
      <c r="J318" s="1"/>
    </row>
    <row r="319" spans="1:10">
      <c r="A319" s="3"/>
      <c r="J319" s="1"/>
    </row>
    <row r="320" spans="1:10">
      <c r="A320" s="3"/>
      <c r="J320" s="1"/>
    </row>
    <row r="321" spans="1:10">
      <c r="A321" s="3"/>
      <c r="J321" s="1"/>
    </row>
    <row r="322" spans="1:10">
      <c r="A322" s="3"/>
      <c r="J322" s="1"/>
    </row>
    <row r="323" spans="1:10">
      <c r="A323" s="3"/>
      <c r="J323" s="1"/>
    </row>
    <row r="324" spans="1:10">
      <c r="A324" s="3"/>
      <c r="J324" s="1"/>
    </row>
    <row r="325" spans="1:10">
      <c r="A325" s="3"/>
      <c r="J325" s="1"/>
    </row>
    <row r="326" spans="1:10">
      <c r="A326" s="3"/>
      <c r="J326" s="1"/>
    </row>
    <row r="327" spans="1:10">
      <c r="A327" s="3"/>
      <c r="J327" s="1"/>
    </row>
    <row r="328" spans="1:10">
      <c r="A328" s="3"/>
      <c r="J328" s="1"/>
    </row>
    <row r="329" spans="1:10">
      <c r="A329" s="3"/>
      <c r="J329" s="1"/>
    </row>
    <row r="330" spans="1:10">
      <c r="A330" s="3"/>
      <c r="J330" s="1"/>
    </row>
    <row r="331" spans="1:10">
      <c r="A331" s="3"/>
      <c r="J331" s="1"/>
    </row>
    <row r="332" spans="1:10">
      <c r="A332" s="3"/>
      <c r="J332" s="1"/>
    </row>
    <row r="333" spans="1:10">
      <c r="A333" s="3"/>
      <c r="J333" s="1"/>
    </row>
    <row r="334" spans="1:10">
      <c r="A334" s="3"/>
      <c r="J334" s="1"/>
    </row>
    <row r="335" spans="1:10">
      <c r="A335" s="3"/>
      <c r="J335" s="1"/>
    </row>
    <row r="336" spans="1:10">
      <c r="A336" s="3"/>
      <c r="J336" s="1"/>
    </row>
    <row r="337" spans="1:10">
      <c r="A337" s="3"/>
      <c r="J337" s="1"/>
    </row>
    <row r="338" spans="1:10">
      <c r="A338" s="3"/>
      <c r="J338" s="1"/>
    </row>
    <row r="339" spans="1:10">
      <c r="A339" s="3"/>
      <c r="J339" s="1"/>
    </row>
    <row r="340" spans="1:10">
      <c r="A340" s="3"/>
      <c r="J340" s="1"/>
    </row>
    <row r="341" spans="1:10">
      <c r="A341" s="3"/>
      <c r="J341" s="1"/>
    </row>
    <row r="342" spans="1:10">
      <c r="A342" s="3"/>
      <c r="J342" s="1"/>
    </row>
    <row r="343" spans="1:10">
      <c r="A343" s="3"/>
      <c r="J343" s="1"/>
    </row>
    <row r="344" spans="1:10">
      <c r="A344" s="3"/>
      <c r="J344" s="1"/>
    </row>
    <row r="345" spans="1:10">
      <c r="A345" s="3"/>
      <c r="J345" s="1"/>
    </row>
    <row r="346" spans="1:10">
      <c r="A346" s="3"/>
      <c r="J346" s="1"/>
    </row>
    <row r="347" spans="1:10">
      <c r="A347" s="3"/>
      <c r="J347" s="1"/>
    </row>
    <row r="348" spans="1:10">
      <c r="A348" s="3"/>
      <c r="J348" s="1"/>
    </row>
    <row r="349" spans="1:10">
      <c r="A349" s="3"/>
      <c r="J349" s="1"/>
    </row>
    <row r="350" spans="1:10">
      <c r="A350" s="3"/>
      <c r="J350" s="1"/>
    </row>
    <row r="351" spans="1:10">
      <c r="A351" s="3"/>
      <c r="J351" s="1"/>
    </row>
    <row r="352" spans="1:10">
      <c r="A352" s="3"/>
      <c r="J352" s="1"/>
    </row>
    <row r="353" spans="1:10">
      <c r="A353" s="3"/>
      <c r="J353" s="1"/>
    </row>
    <row r="354" spans="1:10">
      <c r="A354" s="3"/>
      <c r="J354" s="1"/>
    </row>
    <row r="355" spans="1:10">
      <c r="A355" s="3"/>
      <c r="J355" s="1"/>
    </row>
    <row r="356" spans="1:10">
      <c r="A356" s="3"/>
      <c r="J356" s="1"/>
    </row>
    <row r="357" spans="1:10">
      <c r="A357" s="3"/>
      <c r="J357" s="1"/>
    </row>
    <row r="358" spans="1:10">
      <c r="A358" s="3"/>
      <c r="J358" s="1"/>
    </row>
    <row r="359" spans="1:10">
      <c r="A359" s="3"/>
      <c r="J359" s="1"/>
    </row>
    <row r="360" spans="1:10">
      <c r="A360" s="3"/>
      <c r="J360" s="1"/>
    </row>
    <row r="361" spans="1:10">
      <c r="A361" s="3"/>
      <c r="J361" s="1"/>
    </row>
    <row r="362" spans="1:10">
      <c r="A362" s="3"/>
      <c r="J362" s="1"/>
    </row>
    <row r="363" spans="1:10">
      <c r="A363" s="3"/>
      <c r="J363" s="1"/>
    </row>
    <row r="364" spans="1:10">
      <c r="A364" s="3"/>
      <c r="J364" s="1"/>
    </row>
    <row r="365" spans="1:10">
      <c r="A365" s="3"/>
      <c r="J365" s="1"/>
    </row>
    <row r="366" spans="1:10">
      <c r="A366" s="3"/>
      <c r="J366" s="1"/>
    </row>
    <row r="367" spans="1:10">
      <c r="A367" s="3"/>
      <c r="J367" s="1"/>
    </row>
    <row r="368" spans="1:10">
      <c r="A368" s="3"/>
      <c r="J368" s="1"/>
    </row>
    <row r="369" spans="1:10">
      <c r="A369" s="3"/>
      <c r="J369" s="1"/>
    </row>
    <row r="370" spans="1:10">
      <c r="A370" s="3"/>
      <c r="J370" s="1"/>
    </row>
    <row r="371" spans="1:10">
      <c r="A371" s="3"/>
      <c r="J371" s="1"/>
    </row>
    <row r="372" spans="1:10">
      <c r="A372" s="3"/>
      <c r="J372" s="1"/>
    </row>
    <row r="373" spans="1:10">
      <c r="A373" s="3"/>
      <c r="J373" s="1"/>
    </row>
    <row r="374" spans="1:10">
      <c r="A374" s="3"/>
      <c r="J374" s="1"/>
    </row>
    <row r="375" spans="1:10">
      <c r="A375" s="3"/>
      <c r="J375" s="1"/>
    </row>
    <row r="376" spans="1:10">
      <c r="A376" s="3"/>
      <c r="J376" s="1"/>
    </row>
    <row r="377" spans="1:10">
      <c r="A377" s="3"/>
      <c r="J377" s="1"/>
    </row>
    <row r="378" spans="1:10">
      <c r="A378" s="3"/>
      <c r="J378" s="1"/>
    </row>
    <row r="379" spans="1:10">
      <c r="A379" s="3"/>
      <c r="J379" s="1"/>
    </row>
    <row r="380" spans="1:10">
      <c r="A380" s="3"/>
      <c r="J380" s="1"/>
    </row>
    <row r="381" spans="1:10">
      <c r="A381" s="3"/>
      <c r="J381" s="1"/>
    </row>
    <row r="382" spans="1:10">
      <c r="A382" s="3"/>
      <c r="J382" s="1"/>
    </row>
    <row r="383" spans="1:10">
      <c r="A383" s="3"/>
      <c r="J383" s="1"/>
    </row>
    <row r="384" spans="1:10">
      <c r="A384" s="3"/>
      <c r="J384" s="1"/>
    </row>
    <row r="385" spans="1:10">
      <c r="A385" s="3"/>
      <c r="J385" s="1"/>
    </row>
    <row r="386" spans="1:10">
      <c r="A386" s="3"/>
      <c r="J386" s="1"/>
    </row>
    <row r="387" spans="1:10">
      <c r="A387" s="3"/>
      <c r="J387" s="1"/>
    </row>
    <row r="388" spans="1:10">
      <c r="A388" s="3"/>
      <c r="J388" s="1"/>
    </row>
    <row r="389" spans="1:10">
      <c r="A389" s="3"/>
      <c r="J389" s="1"/>
    </row>
    <row r="390" spans="1:10">
      <c r="A390" s="3"/>
      <c r="J390" s="1"/>
    </row>
    <row r="391" spans="1:10">
      <c r="A391" s="3"/>
      <c r="J391" s="1"/>
    </row>
    <row r="392" spans="1:10">
      <c r="A392" s="3"/>
      <c r="J392" s="1"/>
    </row>
    <row r="393" spans="1:10">
      <c r="A393" s="3"/>
      <c r="J393" s="1"/>
    </row>
    <row r="394" spans="1:10">
      <c r="A394" s="3"/>
      <c r="J394" s="1"/>
    </row>
    <row r="395" spans="1:10">
      <c r="A395" s="3"/>
      <c r="J395" s="1"/>
    </row>
    <row r="396" spans="1:10">
      <c r="A396" s="3"/>
      <c r="J396" s="1"/>
    </row>
    <row r="397" spans="1:10">
      <c r="A397" s="3"/>
      <c r="J397" s="1"/>
    </row>
    <row r="398" spans="1:10">
      <c r="A398" s="3"/>
      <c r="J398" s="1"/>
    </row>
    <row r="399" spans="1:10">
      <c r="A399" s="3"/>
      <c r="J399" s="1"/>
    </row>
    <row r="400" spans="1:10">
      <c r="A400" s="3"/>
      <c r="J400" s="1"/>
    </row>
    <row r="401" spans="1:10">
      <c r="A401" s="3"/>
      <c r="J401" s="1"/>
    </row>
    <row r="402" spans="1:10">
      <c r="A402" s="3"/>
      <c r="J402" s="1"/>
    </row>
    <row r="403" spans="1:10">
      <c r="A403" s="3"/>
      <c r="J403" s="1"/>
    </row>
    <row r="404" spans="1:10">
      <c r="A404" s="3"/>
      <c r="J404" s="1"/>
    </row>
    <row r="405" spans="1:10">
      <c r="A405" s="3"/>
      <c r="J405" s="1"/>
    </row>
    <row r="406" spans="1:10">
      <c r="A406" s="3"/>
      <c r="J406" s="1"/>
    </row>
    <row r="407" spans="1:10">
      <c r="A407" s="3"/>
      <c r="J407" s="1"/>
    </row>
    <row r="408" spans="1:10">
      <c r="A408" s="3"/>
      <c r="J408" s="1"/>
    </row>
    <row r="409" spans="1:10">
      <c r="A409" s="3"/>
      <c r="J409" s="1"/>
    </row>
    <row r="410" spans="1:10">
      <c r="A410" s="3"/>
      <c r="J410" s="1"/>
    </row>
    <row r="411" spans="1:10">
      <c r="A411" s="3"/>
      <c r="J411" s="1"/>
    </row>
    <row r="412" spans="1:10">
      <c r="A412" s="3"/>
      <c r="J412" s="1"/>
    </row>
    <row r="413" spans="1:10">
      <c r="A413" s="3"/>
      <c r="J413" s="1"/>
    </row>
    <row r="414" spans="1:10">
      <c r="A414" s="3"/>
      <c r="J414" s="1"/>
    </row>
    <row r="415" spans="1:10">
      <c r="A415" s="3"/>
      <c r="J415" s="1"/>
    </row>
    <row r="416" spans="1:10">
      <c r="A416" s="3"/>
      <c r="J416" s="1"/>
    </row>
    <row r="417" spans="1:10">
      <c r="A417" s="3"/>
      <c r="J417" s="1"/>
    </row>
    <row r="418" spans="1:10">
      <c r="A418" s="3"/>
      <c r="J418" s="1"/>
    </row>
    <row r="419" spans="1:10">
      <c r="A419" s="3"/>
      <c r="J419" s="1"/>
    </row>
    <row r="420" spans="1:10">
      <c r="A420" s="3"/>
      <c r="J420" s="1"/>
    </row>
    <row r="421" spans="1:10">
      <c r="A421" s="3"/>
      <c r="J421" s="1"/>
    </row>
    <row r="422" spans="1:10">
      <c r="A422" s="3"/>
      <c r="J422" s="1"/>
    </row>
    <row r="423" spans="1:10">
      <c r="A423" s="3"/>
      <c r="J423" s="1"/>
    </row>
    <row r="424" spans="1:10">
      <c r="A424" s="3"/>
      <c r="J424" s="1"/>
    </row>
    <row r="425" spans="1:10">
      <c r="A425" s="3"/>
      <c r="J425" s="1"/>
    </row>
    <row r="426" spans="1:10">
      <c r="A426" s="3"/>
      <c r="J426" s="1"/>
    </row>
    <row r="427" spans="1:10">
      <c r="A427" s="3"/>
      <c r="J427" s="1"/>
    </row>
    <row r="428" spans="1:10">
      <c r="A428" s="3"/>
      <c r="J428" s="1"/>
    </row>
    <row r="429" spans="1:10">
      <c r="A429" s="3"/>
      <c r="J429" s="1"/>
    </row>
    <row r="430" spans="1:10">
      <c r="A430" s="3"/>
      <c r="J430" s="1"/>
    </row>
    <row r="431" spans="1:10">
      <c r="A431" s="3"/>
      <c r="J431" s="1"/>
    </row>
    <row r="432" spans="1:10">
      <c r="A432" s="3"/>
      <c r="J432" s="1"/>
    </row>
    <row r="433" spans="1:10">
      <c r="A433" s="3"/>
      <c r="J433" s="1"/>
    </row>
    <row r="434" spans="1:10">
      <c r="A434" s="3"/>
      <c r="J434" s="1"/>
    </row>
    <row r="435" spans="1:10">
      <c r="A435" s="3"/>
      <c r="J435" s="1"/>
    </row>
    <row r="436" spans="1:10">
      <c r="A436" s="3"/>
      <c r="J436" s="1"/>
    </row>
    <row r="437" spans="1:10">
      <c r="A437" s="3"/>
      <c r="J437" s="1"/>
    </row>
    <row r="438" spans="1:10">
      <c r="A438" s="3"/>
      <c r="J438" s="1"/>
    </row>
    <row r="439" spans="1:10">
      <c r="A439" s="3"/>
      <c r="J439" s="1"/>
    </row>
    <row r="440" spans="1:10">
      <c r="A440" s="3"/>
      <c r="J440" s="1"/>
    </row>
    <row r="441" spans="1:10">
      <c r="A441" s="3"/>
      <c r="J441" s="1"/>
    </row>
    <row r="442" spans="1:10">
      <c r="A442" s="3"/>
      <c r="J442" s="1"/>
    </row>
    <row r="443" spans="1:10">
      <c r="A443" s="3"/>
      <c r="J443" s="1"/>
    </row>
    <row r="444" spans="1:10">
      <c r="A444" s="3"/>
      <c r="J444" s="1"/>
    </row>
    <row r="445" spans="1:10">
      <c r="A445" s="3"/>
      <c r="J445" s="1"/>
    </row>
    <row r="446" spans="1:10">
      <c r="A446" s="3"/>
      <c r="J446" s="1"/>
    </row>
    <row r="447" spans="1:10">
      <c r="A447" s="3"/>
      <c r="J447" s="1"/>
    </row>
    <row r="448" spans="1:10">
      <c r="A448" s="3"/>
      <c r="J448" s="1"/>
    </row>
    <row r="449" spans="1:10">
      <c r="A449" s="3"/>
      <c r="J449" s="1"/>
    </row>
    <row r="450" spans="1:10">
      <c r="A450" s="3"/>
      <c r="J450" s="1"/>
    </row>
    <row r="451" spans="1:10">
      <c r="A451" s="3"/>
      <c r="J451" s="1"/>
    </row>
    <row r="452" spans="1:10">
      <c r="A452" s="3"/>
      <c r="J452" s="1"/>
    </row>
    <row r="453" spans="1:10">
      <c r="A453" s="3"/>
      <c r="J453" s="1"/>
    </row>
    <row r="454" spans="1:10">
      <c r="A454" s="3"/>
      <c r="J454" s="1"/>
    </row>
    <row r="455" spans="1:10">
      <c r="A455" s="3"/>
      <c r="J455" s="1"/>
    </row>
    <row r="456" spans="1:10">
      <c r="A456" s="3"/>
      <c r="J456" s="1"/>
    </row>
    <row r="457" spans="1:10">
      <c r="A457" s="3"/>
      <c r="J457" s="1"/>
    </row>
    <row r="458" spans="1:10">
      <c r="A458" s="3"/>
      <c r="J458" s="1"/>
    </row>
    <row r="459" spans="1:10">
      <c r="A459" s="3"/>
      <c r="J459" s="1"/>
    </row>
    <row r="460" spans="1:10">
      <c r="A460" s="3"/>
      <c r="J460" s="1"/>
    </row>
    <row r="461" spans="1:10">
      <c r="A461" s="3"/>
      <c r="J461" s="1"/>
    </row>
    <row r="462" spans="1:10">
      <c r="A462" s="3"/>
      <c r="J462" s="1"/>
    </row>
    <row r="463" spans="1:10">
      <c r="A463" s="3"/>
      <c r="J463" s="1"/>
    </row>
    <row r="464" spans="1:10">
      <c r="A464" s="3"/>
      <c r="J464" s="1"/>
    </row>
    <row r="465" spans="1:10">
      <c r="A465" s="3"/>
      <c r="J465" s="1"/>
    </row>
    <row r="466" spans="1:10">
      <c r="A466" s="3"/>
      <c r="J466" s="1"/>
    </row>
    <row r="467" spans="1:10">
      <c r="A467" s="3"/>
      <c r="J467" s="1"/>
    </row>
    <row r="468" spans="1:10">
      <c r="A468" s="3"/>
      <c r="J468" s="1"/>
    </row>
    <row r="469" spans="1:10">
      <c r="A469" s="3"/>
      <c r="J469" s="1"/>
    </row>
    <row r="470" spans="1:10">
      <c r="A470" s="3"/>
      <c r="J470" s="1"/>
    </row>
    <row r="471" spans="1:10">
      <c r="A471" s="3"/>
      <c r="J471" s="1"/>
    </row>
    <row r="472" spans="1:10">
      <c r="A472" s="3"/>
      <c r="J472" s="1"/>
    </row>
    <row r="473" spans="1:10">
      <c r="A473" s="3"/>
      <c r="J473" s="1"/>
    </row>
    <row r="474" spans="1:10">
      <c r="A474" s="3"/>
      <c r="J474" s="1"/>
    </row>
    <row r="475" spans="1:10">
      <c r="A475" s="3"/>
      <c r="J475" s="1"/>
    </row>
    <row r="476" spans="1:10">
      <c r="A476" s="3"/>
      <c r="J476" s="1"/>
    </row>
    <row r="477" spans="1:10">
      <c r="A477" s="3"/>
      <c r="J477" s="1"/>
    </row>
    <row r="478" spans="1:10">
      <c r="A478" s="3"/>
      <c r="J478" s="1"/>
    </row>
    <row r="479" spans="1:10">
      <c r="A479" s="3"/>
      <c r="J479" s="1"/>
    </row>
    <row r="480" spans="1:10">
      <c r="A480" s="3"/>
      <c r="J480" s="1"/>
    </row>
    <row r="481" spans="1:10">
      <c r="A481" s="3"/>
      <c r="J481" s="1"/>
    </row>
    <row r="482" spans="1:10">
      <c r="A482" s="3"/>
      <c r="J482" s="1"/>
    </row>
    <row r="483" spans="1:10">
      <c r="A483" s="3"/>
      <c r="J483" s="1"/>
    </row>
    <row r="484" spans="1:10">
      <c r="A484" s="3"/>
      <c r="J484" s="1"/>
    </row>
    <row r="485" spans="1:10">
      <c r="A485" s="3"/>
      <c r="J485" s="1"/>
    </row>
    <row r="486" spans="1:10">
      <c r="A486" s="3"/>
      <c r="J486" s="1"/>
    </row>
    <row r="487" spans="1:10">
      <c r="A487" s="3"/>
      <c r="J487" s="1"/>
    </row>
    <row r="488" spans="1:10">
      <c r="A488" s="3"/>
      <c r="J488" s="1"/>
    </row>
    <row r="489" spans="1:10">
      <c r="A489" s="3"/>
      <c r="J489" s="1"/>
    </row>
    <row r="490" spans="1:10">
      <c r="A490" s="3"/>
      <c r="J490" s="1"/>
    </row>
    <row r="491" spans="1:10">
      <c r="A491" s="3"/>
      <c r="J491" s="1"/>
    </row>
    <row r="492" spans="1:10">
      <c r="A492" s="3"/>
      <c r="J492" s="1"/>
    </row>
    <row r="493" spans="1:10">
      <c r="A493" s="3"/>
      <c r="J493" s="1"/>
    </row>
    <row r="494" spans="1:10">
      <c r="A494" s="3"/>
      <c r="J494" s="1"/>
    </row>
    <row r="495" spans="1:10">
      <c r="A495" s="3"/>
      <c r="J495" s="1"/>
    </row>
    <row r="496" spans="1:10">
      <c r="A496" s="3"/>
      <c r="J496" s="1"/>
    </row>
    <row r="497" spans="1:10">
      <c r="A497" s="3"/>
      <c r="J497" s="1"/>
    </row>
    <row r="498" spans="1:10">
      <c r="A498" s="3"/>
      <c r="J498" s="1"/>
    </row>
    <row r="499" spans="1:10">
      <c r="A499" s="3"/>
      <c r="J499" s="1"/>
    </row>
    <row r="500" spans="1:10">
      <c r="A500" s="3"/>
      <c r="J500" s="1"/>
    </row>
    <row r="501" spans="1:10">
      <c r="A501" s="3"/>
      <c r="J501" s="1"/>
    </row>
    <row r="502" spans="1:10">
      <c r="A502" s="3"/>
      <c r="J502" s="1"/>
    </row>
    <row r="503" spans="1:10">
      <c r="A503" s="3"/>
      <c r="J503" s="1"/>
    </row>
    <row r="504" spans="1:10">
      <c r="A504" s="3"/>
      <c r="J504" s="1"/>
    </row>
    <row r="505" spans="1:10">
      <c r="A505" s="3"/>
      <c r="J505" s="1"/>
    </row>
    <row r="506" spans="1:10">
      <c r="A506" s="3"/>
      <c r="J506" s="1"/>
    </row>
    <row r="507" spans="1:10">
      <c r="A507" s="3"/>
      <c r="J507" s="1"/>
    </row>
    <row r="508" spans="1:10">
      <c r="A508" s="3"/>
      <c r="J508" s="1"/>
    </row>
    <row r="509" spans="1:10">
      <c r="A509" s="3"/>
      <c r="J509" s="1"/>
    </row>
    <row r="510" spans="1:10">
      <c r="A510" s="3"/>
      <c r="J510" s="1"/>
    </row>
    <row r="511" spans="1:10">
      <c r="A511" s="3"/>
      <c r="J511" s="1"/>
    </row>
    <row r="512" spans="1:10">
      <c r="A512" s="3"/>
      <c r="J512" s="1"/>
    </row>
    <row r="513" spans="1:10">
      <c r="A513" s="3"/>
      <c r="J513" s="1"/>
    </row>
    <row r="514" spans="1:10">
      <c r="A514" s="3"/>
      <c r="J514" s="1"/>
    </row>
    <row r="515" spans="1:10">
      <c r="A515" s="3"/>
      <c r="J515" s="1"/>
    </row>
    <row r="516" spans="1:10">
      <c r="A516" s="3"/>
      <c r="J516" s="1"/>
    </row>
    <row r="517" spans="1:10">
      <c r="A517" s="3"/>
      <c r="J517" s="1"/>
    </row>
    <row r="518" spans="1:10">
      <c r="A518" s="3"/>
      <c r="J518" s="1"/>
    </row>
    <row r="519" spans="1:10">
      <c r="A519" s="3"/>
      <c r="J519" s="1"/>
    </row>
    <row r="520" spans="1:10">
      <c r="A520" s="3"/>
      <c r="J520" s="1"/>
    </row>
    <row r="521" spans="1:10">
      <c r="A521" s="3"/>
      <c r="J521" s="1"/>
    </row>
    <row r="522" spans="1:10">
      <c r="A522" s="3"/>
      <c r="J522" s="1"/>
    </row>
    <row r="523" spans="1:10">
      <c r="A523" s="3"/>
      <c r="J523" s="1"/>
    </row>
    <row r="524" spans="1:10">
      <c r="A524" s="3"/>
      <c r="J524" s="1"/>
    </row>
    <row r="525" spans="1:10">
      <c r="A525" s="3"/>
      <c r="J525" s="1"/>
    </row>
    <row r="526" spans="1:10">
      <c r="A526" s="3"/>
      <c r="J526" s="1"/>
    </row>
    <row r="527" spans="1:10">
      <c r="A527" s="3"/>
      <c r="J527" s="1"/>
    </row>
    <row r="528" spans="1:10">
      <c r="A528" s="3"/>
      <c r="J528" s="1"/>
    </row>
    <row r="529" spans="1:10">
      <c r="A529" s="3"/>
      <c r="J529" s="1"/>
    </row>
    <row r="530" spans="1:10">
      <c r="A530" s="3"/>
      <c r="J530" s="1"/>
    </row>
    <row r="531" spans="1:10">
      <c r="A531" s="3"/>
      <c r="J531" s="1"/>
    </row>
    <row r="532" spans="1:10">
      <c r="A532" s="3"/>
      <c r="J532" s="1"/>
    </row>
    <row r="533" spans="1:10">
      <c r="A533" s="3"/>
      <c r="J533" s="1"/>
    </row>
    <row r="534" spans="1:10">
      <c r="A534" s="3"/>
      <c r="J534" s="1"/>
    </row>
    <row r="535" spans="1:10">
      <c r="A535" s="3"/>
      <c r="J535" s="1"/>
    </row>
    <row r="536" spans="1:10">
      <c r="A536" s="3"/>
      <c r="J536" s="1"/>
    </row>
    <row r="537" spans="1:10">
      <c r="A537" s="3"/>
      <c r="J537" s="1"/>
    </row>
    <row r="538" spans="1:10">
      <c r="A538" s="3"/>
      <c r="J538" s="1"/>
    </row>
    <row r="539" spans="1:10">
      <c r="A539" s="3"/>
      <c r="J539" s="1"/>
    </row>
    <row r="540" spans="1:10">
      <c r="A540" s="3"/>
      <c r="J540" s="1"/>
    </row>
    <row r="541" spans="1:10">
      <c r="A541" s="3"/>
      <c r="J541" s="1"/>
    </row>
    <row r="542" spans="1:10">
      <c r="A542" s="3"/>
      <c r="J542" s="1"/>
    </row>
    <row r="543" spans="1:10">
      <c r="A543" s="3"/>
      <c r="J543" s="1"/>
    </row>
    <row r="544" spans="1:10">
      <c r="A544" s="3"/>
      <c r="J544" s="1"/>
    </row>
    <row r="545" spans="1:10">
      <c r="A545" s="3"/>
      <c r="J545" s="1"/>
    </row>
    <row r="546" spans="1:10">
      <c r="A546" s="3"/>
      <c r="J546" s="1"/>
    </row>
    <row r="547" spans="1:10">
      <c r="A547" s="3"/>
      <c r="J547" s="1"/>
    </row>
    <row r="548" spans="1:10">
      <c r="A548" s="3"/>
      <c r="J548" s="1"/>
    </row>
    <row r="549" spans="1:10">
      <c r="A549" s="3"/>
      <c r="J549" s="1"/>
    </row>
    <row r="550" spans="1:10">
      <c r="A550" s="3"/>
      <c r="J550" s="1"/>
    </row>
    <row r="551" spans="1:10">
      <c r="A551" s="3"/>
      <c r="J551" s="1"/>
    </row>
    <row r="552" spans="1:10">
      <c r="A552" s="3"/>
      <c r="J552" s="1"/>
    </row>
    <row r="553" spans="1:10">
      <c r="A553" s="3"/>
      <c r="J553" s="1"/>
    </row>
    <row r="554" spans="1:10">
      <c r="A554" s="3"/>
      <c r="J554" s="1"/>
    </row>
    <row r="555" spans="1:10">
      <c r="A555" s="3"/>
      <c r="J555" s="1"/>
    </row>
    <row r="556" spans="1:10">
      <c r="A556" s="3"/>
      <c r="J556" s="1"/>
    </row>
    <row r="557" spans="1:10">
      <c r="A557" s="3"/>
      <c r="J557" s="1"/>
    </row>
    <row r="558" spans="1:10">
      <c r="A558" s="3"/>
      <c r="J558" s="1"/>
    </row>
    <row r="559" spans="1:10">
      <c r="A559" s="3"/>
      <c r="J559" s="1"/>
    </row>
    <row r="560" spans="1:10">
      <c r="A560" s="3"/>
      <c r="J560" s="1"/>
    </row>
    <row r="561" spans="1:10">
      <c r="A561" s="3"/>
      <c r="J561" s="1"/>
    </row>
    <row r="562" spans="1:10">
      <c r="A562" s="3"/>
      <c r="J562" s="1"/>
    </row>
    <row r="563" spans="1:10">
      <c r="A563" s="3"/>
      <c r="J563" s="1"/>
    </row>
    <row r="564" spans="1:10">
      <c r="A564" s="3"/>
      <c r="J564" s="1"/>
    </row>
    <row r="565" spans="1:10">
      <c r="A565" s="3"/>
      <c r="J565" s="1"/>
    </row>
    <row r="566" spans="1:10">
      <c r="A566" s="3"/>
      <c r="J566" s="1"/>
    </row>
    <row r="567" spans="1:10">
      <c r="A567" s="3"/>
      <c r="J567" s="1"/>
    </row>
    <row r="568" spans="1:10">
      <c r="A568" s="3"/>
      <c r="J568" s="1"/>
    </row>
    <row r="569" spans="1:10">
      <c r="A569" s="3"/>
      <c r="J569" s="1"/>
    </row>
    <row r="570" spans="1:10">
      <c r="A570" s="3"/>
      <c r="J570" s="1"/>
    </row>
    <row r="571" spans="1:10">
      <c r="A571" s="3"/>
      <c r="J571" s="1"/>
    </row>
    <row r="572" spans="1:10">
      <c r="A572" s="3"/>
      <c r="J572" s="1"/>
    </row>
    <row r="573" spans="1:10">
      <c r="A573" s="3"/>
      <c r="J573" s="1"/>
    </row>
    <row r="574" spans="1:10">
      <c r="A574" s="3"/>
      <c r="J574" s="1"/>
    </row>
    <row r="575" spans="1:10">
      <c r="A575" s="3"/>
      <c r="J575" s="1"/>
    </row>
    <row r="576" spans="1:10">
      <c r="A576" s="3"/>
      <c r="J576" s="1"/>
    </row>
    <row r="577" spans="1:10">
      <c r="A577" s="3"/>
      <c r="J577" s="1"/>
    </row>
    <row r="578" spans="1:10">
      <c r="A578" s="3"/>
      <c r="J578" s="1"/>
    </row>
    <row r="579" spans="1:10">
      <c r="A579" s="3"/>
      <c r="J579" s="1"/>
    </row>
    <row r="580" spans="1:10">
      <c r="A580" s="3"/>
      <c r="J580" s="1"/>
    </row>
    <row r="581" spans="1:10">
      <c r="A581" s="3"/>
      <c r="J581" s="1"/>
    </row>
    <row r="582" spans="1:10">
      <c r="A582" s="3"/>
      <c r="J582" s="1"/>
    </row>
    <row r="583" spans="1:10">
      <c r="A583" s="3"/>
      <c r="J583" s="1"/>
    </row>
    <row r="584" spans="1:10">
      <c r="A584" s="3"/>
      <c r="J584" s="1"/>
    </row>
    <row r="585" spans="1:10">
      <c r="A585" s="3"/>
      <c r="J585" s="1"/>
    </row>
    <row r="586" spans="1:10">
      <c r="A586" s="3"/>
      <c r="J586" s="1"/>
    </row>
    <row r="587" spans="1:10">
      <c r="A587" s="3"/>
      <c r="J587" s="1"/>
    </row>
    <row r="588" spans="1:10">
      <c r="A588" s="3"/>
      <c r="J588" s="1"/>
    </row>
    <row r="589" spans="1:10">
      <c r="A589" s="3"/>
      <c r="J589" s="1"/>
    </row>
    <row r="590" spans="1:10">
      <c r="A590" s="3"/>
      <c r="J590" s="1"/>
    </row>
    <row r="591" spans="1:10">
      <c r="A591" s="3"/>
      <c r="J591" s="1"/>
    </row>
    <row r="592" spans="1:10">
      <c r="A592" s="3"/>
      <c r="J592" s="1"/>
    </row>
    <row r="593" spans="1:10">
      <c r="A593" s="3"/>
      <c r="J593" s="1"/>
    </row>
    <row r="594" spans="1:10">
      <c r="A594" s="3"/>
      <c r="J594" s="1"/>
    </row>
    <row r="595" spans="1:10">
      <c r="A595" s="3"/>
      <c r="J595" s="1"/>
    </row>
    <row r="596" spans="1:10">
      <c r="A596" s="3"/>
      <c r="J596" s="1"/>
    </row>
    <row r="597" spans="1:10">
      <c r="A597" s="3"/>
      <c r="J597" s="1"/>
    </row>
    <row r="598" spans="1:10">
      <c r="A598" s="3"/>
      <c r="J598" s="1"/>
    </row>
    <row r="599" spans="1:10">
      <c r="A599" s="3"/>
      <c r="J599" s="1"/>
    </row>
    <row r="600" spans="1:10">
      <c r="A600" s="3"/>
      <c r="J600" s="1"/>
    </row>
    <row r="601" spans="1:10">
      <c r="A601" s="3"/>
      <c r="J601" s="1"/>
    </row>
    <row r="602" spans="1:10">
      <c r="A602" s="3"/>
      <c r="J602" s="1"/>
    </row>
    <row r="603" spans="1:10">
      <c r="A603" s="3"/>
      <c r="J603" s="1"/>
    </row>
    <row r="604" spans="1:10">
      <c r="A604" s="3"/>
      <c r="J604" s="1"/>
    </row>
    <row r="605" spans="1:10">
      <c r="A605" s="3"/>
      <c r="J605" s="1"/>
    </row>
    <row r="606" spans="1:10">
      <c r="A606" s="3"/>
      <c r="J606" s="1"/>
    </row>
    <row r="607" spans="1:10">
      <c r="A607" s="3"/>
      <c r="J607" s="1"/>
    </row>
    <row r="608" spans="1:10">
      <c r="A608" s="3"/>
      <c r="J608" s="1"/>
    </row>
    <row r="609" spans="1:10">
      <c r="A609" s="3"/>
      <c r="J609" s="1"/>
    </row>
    <row r="610" spans="1:10">
      <c r="A610" s="3"/>
      <c r="J610" s="1"/>
    </row>
    <row r="611" spans="1:10">
      <c r="A611" s="3"/>
      <c r="J611" s="1"/>
    </row>
    <row r="612" spans="1:10">
      <c r="A612" s="3"/>
      <c r="J612" s="1"/>
    </row>
    <row r="613" spans="1:10">
      <c r="A613" s="3"/>
      <c r="J613" s="1"/>
    </row>
    <row r="614" spans="1:10">
      <c r="A614" s="3"/>
      <c r="J614" s="1"/>
    </row>
    <row r="615" spans="1:10">
      <c r="A615" s="3"/>
      <c r="J615" s="1"/>
    </row>
    <row r="616" spans="1:10">
      <c r="A616" s="3"/>
      <c r="J616" s="1"/>
    </row>
    <row r="617" spans="1:10">
      <c r="A617" s="3"/>
      <c r="J617" s="1"/>
    </row>
    <row r="618" spans="1:10">
      <c r="A618" s="3"/>
      <c r="J618" s="1"/>
    </row>
    <row r="619" spans="1:10">
      <c r="A619" s="3"/>
      <c r="J619" s="1"/>
    </row>
    <row r="620" spans="1:10">
      <c r="A620" s="3"/>
      <c r="J620" s="1"/>
    </row>
    <row r="621" spans="1:10">
      <c r="A621" s="3"/>
      <c r="J621" s="1"/>
    </row>
    <row r="622" spans="1:10">
      <c r="A622" s="3"/>
      <c r="J622" s="1"/>
    </row>
    <row r="623" spans="1:10">
      <c r="A623" s="3"/>
      <c r="J623" s="1"/>
    </row>
    <row r="624" spans="1:10">
      <c r="A624" s="3"/>
      <c r="J624" s="1"/>
    </row>
    <row r="625" spans="1:10">
      <c r="A625" s="3"/>
      <c r="J625" s="1"/>
    </row>
    <row r="626" spans="1:10">
      <c r="A626" s="3"/>
      <c r="J626" s="1"/>
    </row>
    <row r="627" spans="1:10">
      <c r="A627" s="3"/>
      <c r="J627" s="1"/>
    </row>
    <row r="628" spans="1:10">
      <c r="A628" s="3"/>
      <c r="J628" s="1"/>
    </row>
    <row r="629" spans="1:10">
      <c r="A629" s="3"/>
      <c r="J629" s="1"/>
    </row>
    <row r="630" spans="1:10">
      <c r="A630" s="3"/>
      <c r="J630" s="1"/>
    </row>
    <row r="631" spans="1:10">
      <c r="A631" s="3"/>
      <c r="J631" s="1"/>
    </row>
    <row r="632" spans="1:10">
      <c r="A632" s="3"/>
      <c r="J632" s="1"/>
    </row>
    <row r="633" spans="1:10">
      <c r="A633" s="3"/>
      <c r="J633" s="1"/>
    </row>
    <row r="634" spans="1:10">
      <c r="A634" s="3"/>
      <c r="J634" s="1"/>
    </row>
    <row r="635" spans="1:10">
      <c r="A635" s="3"/>
      <c r="J635" s="1"/>
    </row>
    <row r="636" spans="1:10">
      <c r="A636" s="3"/>
      <c r="J636" s="1"/>
    </row>
    <row r="637" spans="1:10">
      <c r="A637" s="3"/>
      <c r="J637" s="1"/>
    </row>
    <row r="638" spans="1:10">
      <c r="A638" s="3"/>
      <c r="J638" s="1"/>
    </row>
    <row r="639" spans="1:10">
      <c r="A639" s="3"/>
      <c r="J639" s="1"/>
    </row>
    <row r="640" spans="1:10">
      <c r="A640" s="3"/>
      <c r="J640" s="1"/>
    </row>
    <row r="641" spans="1:10">
      <c r="A641" s="3"/>
      <c r="J641" s="1"/>
    </row>
    <row r="642" spans="1:10">
      <c r="A642" s="3"/>
      <c r="J642" s="1"/>
    </row>
    <row r="643" spans="1:10">
      <c r="A643" s="3"/>
      <c r="J643" s="1"/>
    </row>
    <row r="644" spans="1:10">
      <c r="A644" s="3"/>
      <c r="J644" s="1"/>
    </row>
    <row r="645" spans="1:10">
      <c r="A645" s="3"/>
      <c r="J645" s="1"/>
    </row>
    <row r="646" spans="1:10">
      <c r="A646" s="3"/>
      <c r="J646" s="1"/>
    </row>
    <row r="647" spans="1:10">
      <c r="A647" s="3"/>
      <c r="J647" s="1"/>
    </row>
    <row r="648" spans="1:10">
      <c r="A648" s="3"/>
      <c r="J648" s="1"/>
    </row>
    <row r="649" spans="1:10">
      <c r="A649" s="3"/>
      <c r="J649" s="1"/>
    </row>
    <row r="650" spans="1:10">
      <c r="A650" s="3"/>
      <c r="J650" s="1"/>
    </row>
    <row r="651" spans="1:10">
      <c r="A651" s="3"/>
      <c r="J651" s="1"/>
    </row>
    <row r="652" spans="1:10">
      <c r="A652" s="3"/>
      <c r="J652" s="1"/>
    </row>
    <row r="653" spans="1:10">
      <c r="A653" s="3"/>
      <c r="J653" s="1"/>
    </row>
    <row r="654" spans="1:10">
      <c r="A654" s="3"/>
      <c r="J654" s="1"/>
    </row>
    <row r="655" spans="1:10">
      <c r="A655" s="3"/>
      <c r="J655" s="1"/>
    </row>
    <row r="656" spans="1:10">
      <c r="A656" s="3"/>
      <c r="J656" s="1"/>
    </row>
    <row r="657" spans="1:10">
      <c r="A657" s="3"/>
      <c r="J657" s="1"/>
    </row>
    <row r="658" spans="1:10">
      <c r="A658" s="3"/>
      <c r="J658" s="1"/>
    </row>
    <row r="659" spans="1:10">
      <c r="A659" s="3"/>
      <c r="J659" s="1"/>
    </row>
    <row r="660" spans="1:10">
      <c r="A660" s="3"/>
      <c r="J660" s="1"/>
    </row>
    <row r="661" spans="1:10">
      <c r="A661" s="3"/>
      <c r="J661" s="1"/>
    </row>
    <row r="662" spans="1:10">
      <c r="A662" s="3"/>
      <c r="J662" s="1"/>
    </row>
    <row r="663" spans="1:10">
      <c r="A663" s="3"/>
      <c r="J663" s="1"/>
    </row>
    <row r="664" spans="1:10">
      <c r="A664" s="3"/>
      <c r="J664" s="1"/>
    </row>
    <row r="665" spans="1:10">
      <c r="A665" s="3"/>
      <c r="J665" s="1"/>
    </row>
    <row r="666" spans="1:10">
      <c r="A666" s="3"/>
      <c r="J666" s="1"/>
    </row>
    <row r="667" spans="1:10">
      <c r="A667" s="3"/>
      <c r="J667" s="1"/>
    </row>
    <row r="668" spans="1:10">
      <c r="A668" s="3"/>
      <c r="J668" s="1"/>
    </row>
    <row r="669" spans="1:10">
      <c r="A669" s="3"/>
      <c r="J669" s="1"/>
    </row>
    <row r="670" spans="1:10">
      <c r="A670" s="3"/>
      <c r="J670" s="1"/>
    </row>
    <row r="671" spans="1:10">
      <c r="A671" s="3"/>
      <c r="J671" s="1"/>
    </row>
    <row r="672" spans="1:10">
      <c r="A672" s="3"/>
      <c r="J672" s="1"/>
    </row>
    <row r="673" spans="1:10">
      <c r="A673" s="3"/>
      <c r="J673" s="1"/>
    </row>
    <row r="674" spans="1:10">
      <c r="A674" s="3"/>
      <c r="J674" s="1"/>
    </row>
    <row r="675" spans="1:10">
      <c r="A675" s="3"/>
      <c r="J675" s="1"/>
    </row>
    <row r="676" spans="1:10">
      <c r="A676" s="3"/>
      <c r="J676" s="1"/>
    </row>
    <row r="677" spans="1:10">
      <c r="A677" s="3"/>
      <c r="J677" s="1"/>
    </row>
    <row r="678" spans="1:10">
      <c r="A678" s="3"/>
      <c r="J678" s="1"/>
    </row>
    <row r="679" spans="1:10">
      <c r="A679" s="3"/>
      <c r="J679" s="1"/>
    </row>
    <row r="680" spans="1:10">
      <c r="A680" s="3"/>
      <c r="J680" s="1"/>
    </row>
    <row r="681" spans="1:10">
      <c r="A681" s="3"/>
      <c r="J681" s="1"/>
    </row>
    <row r="682" spans="1:10">
      <c r="A682" s="3"/>
      <c r="J682" s="1"/>
    </row>
    <row r="683" spans="1:10">
      <c r="A683" s="3"/>
      <c r="J683" s="1"/>
    </row>
    <row r="684" spans="1:10">
      <c r="A684" s="3"/>
      <c r="J684" s="1"/>
    </row>
    <row r="685" spans="1:10">
      <c r="A685" s="3"/>
      <c r="J685" s="1"/>
    </row>
    <row r="686" spans="1:10">
      <c r="A686" s="3"/>
      <c r="J686" s="1"/>
    </row>
    <row r="687" spans="1:10">
      <c r="A687" s="3"/>
      <c r="J687" s="1"/>
    </row>
    <row r="688" spans="1:10">
      <c r="A688" s="3"/>
      <c r="J688" s="1"/>
    </row>
    <row r="689" spans="1:10">
      <c r="A689" s="3"/>
      <c r="J689" s="1"/>
    </row>
    <row r="690" spans="1:10">
      <c r="A690" s="3"/>
      <c r="J690" s="1"/>
    </row>
    <row r="691" spans="1:10">
      <c r="A691" s="3"/>
      <c r="J691" s="1"/>
    </row>
    <row r="692" spans="1:10">
      <c r="A692" s="3"/>
      <c r="J692" s="1"/>
    </row>
    <row r="693" spans="1:10">
      <c r="A693" s="3"/>
      <c r="J693" s="1"/>
    </row>
    <row r="694" spans="1:10">
      <c r="A694" s="3"/>
      <c r="J694" s="1"/>
    </row>
    <row r="695" spans="1:10">
      <c r="A695" s="3"/>
      <c r="J695" s="1"/>
    </row>
    <row r="696" spans="1:10">
      <c r="A696" s="3"/>
      <c r="J696" s="1"/>
    </row>
    <row r="697" spans="1:10">
      <c r="A697" s="3"/>
      <c r="J697" s="1"/>
    </row>
    <row r="698" spans="1:10">
      <c r="A698" s="3"/>
      <c r="J698" s="1"/>
    </row>
    <row r="699" spans="1:10">
      <c r="A699" s="3"/>
      <c r="J699" s="1"/>
    </row>
    <row r="700" spans="1:10">
      <c r="A700" s="3"/>
      <c r="J700" s="1"/>
    </row>
    <row r="701" spans="1:10">
      <c r="A701" s="3"/>
      <c r="J701" s="1"/>
    </row>
    <row r="702" spans="1:10">
      <c r="A702" s="3"/>
      <c r="J702" s="1"/>
    </row>
    <row r="703" spans="1:10">
      <c r="A703" s="3"/>
      <c r="J703" s="1"/>
    </row>
    <row r="704" spans="1:10">
      <c r="A704" s="3"/>
      <c r="J704" s="1"/>
    </row>
    <row r="705" spans="1:10">
      <c r="A705" s="3"/>
      <c r="J705" s="1"/>
    </row>
    <row r="706" spans="1:10">
      <c r="A706" s="3"/>
      <c r="J706" s="1"/>
    </row>
    <row r="707" spans="1:10">
      <c r="A707" s="3"/>
      <c r="J707" s="1"/>
    </row>
    <row r="708" spans="1:10">
      <c r="A708" s="3"/>
      <c r="J708" s="1"/>
    </row>
    <row r="709" spans="1:10">
      <c r="A709" s="3"/>
      <c r="J709" s="1"/>
    </row>
    <row r="710" spans="1:10">
      <c r="A710" s="3"/>
      <c r="J710" s="1"/>
    </row>
    <row r="711" spans="1:10">
      <c r="A711" s="3"/>
      <c r="J711" s="1"/>
    </row>
    <row r="712" spans="1:10">
      <c r="A712" s="3"/>
      <c r="J712" s="1"/>
    </row>
    <row r="713" spans="1:10">
      <c r="A713" s="3"/>
      <c r="J713" s="1"/>
    </row>
    <row r="714" spans="1:10">
      <c r="A714" s="3"/>
      <c r="J714" s="1"/>
    </row>
    <row r="715" spans="1:10">
      <c r="A715" s="3"/>
      <c r="J715" s="1"/>
    </row>
    <row r="716" spans="1:10">
      <c r="A716" s="3"/>
      <c r="J716" s="1"/>
    </row>
    <row r="717" spans="1:10">
      <c r="A717" s="3"/>
      <c r="J717" s="1"/>
    </row>
    <row r="718" spans="1:10">
      <c r="A718" s="3"/>
      <c r="J718" s="1"/>
    </row>
    <row r="719" spans="1:10">
      <c r="A719" s="3"/>
      <c r="J719" s="1"/>
    </row>
    <row r="720" spans="1:10">
      <c r="A720" s="3"/>
      <c r="J720" s="1"/>
    </row>
    <row r="721" spans="1:10">
      <c r="A721" s="3"/>
      <c r="J721" s="1"/>
    </row>
    <row r="722" spans="1:10">
      <c r="A722" s="3"/>
      <c r="J722" s="1"/>
    </row>
    <row r="723" spans="1:10">
      <c r="A723" s="3"/>
      <c r="J723" s="1"/>
    </row>
    <row r="724" spans="1:10">
      <c r="A724" s="3"/>
      <c r="J724" s="1"/>
    </row>
    <row r="725" spans="1:10">
      <c r="A725" s="3"/>
      <c r="J725" s="1"/>
    </row>
    <row r="726" spans="1:10">
      <c r="A726" s="3"/>
      <c r="J726" s="1"/>
    </row>
    <row r="727" spans="1:10">
      <c r="A727" s="3"/>
      <c r="J727" s="1"/>
    </row>
    <row r="728" spans="1:10">
      <c r="A728" s="3"/>
      <c r="J728" s="1"/>
    </row>
    <row r="729" spans="1:10">
      <c r="A729" s="3"/>
      <c r="J729" s="1"/>
    </row>
    <row r="730" spans="1:10">
      <c r="A730" s="3"/>
      <c r="J730" s="1"/>
    </row>
    <row r="731" spans="1:10">
      <c r="A731" s="3"/>
      <c r="J731" s="1"/>
    </row>
    <row r="732" spans="1:10">
      <c r="A732" s="3"/>
      <c r="J732" s="1"/>
    </row>
    <row r="733" spans="1:10">
      <c r="A733" s="3"/>
      <c r="J733" s="1"/>
    </row>
    <row r="734" spans="1:10">
      <c r="A734" s="3"/>
      <c r="J734" s="1"/>
    </row>
    <row r="735" spans="1:10">
      <c r="A735" s="3"/>
      <c r="J735" s="1"/>
    </row>
    <row r="736" spans="1:10">
      <c r="A736" s="3"/>
      <c r="J736" s="1"/>
    </row>
    <row r="737" spans="1:10">
      <c r="A737" s="3"/>
      <c r="J737" s="1"/>
    </row>
    <row r="738" spans="1:10">
      <c r="A738" s="3"/>
      <c r="J738" s="1"/>
    </row>
    <row r="739" spans="1:10">
      <c r="A739" s="3"/>
      <c r="J739" s="1"/>
    </row>
    <row r="740" spans="1:10">
      <c r="A740" s="3"/>
      <c r="J740" s="1"/>
    </row>
    <row r="741" spans="1:10">
      <c r="A741" s="3"/>
      <c r="J741" s="1"/>
    </row>
    <row r="742" spans="1:10">
      <c r="A742" s="3"/>
      <c r="J742" s="1"/>
    </row>
    <row r="743" spans="1:10">
      <c r="A743" s="3"/>
      <c r="J743" s="1"/>
    </row>
    <row r="744" spans="1:10">
      <c r="A744" s="3"/>
      <c r="J744" s="1"/>
    </row>
    <row r="745" spans="1:10">
      <c r="A745" s="3"/>
      <c r="J745" s="1"/>
    </row>
    <row r="746" spans="1:10">
      <c r="A746" s="3"/>
      <c r="J746" s="1"/>
    </row>
    <row r="747" spans="1:10">
      <c r="A747" s="3"/>
      <c r="J747" s="1"/>
    </row>
    <row r="748" spans="1:10">
      <c r="A748" s="3"/>
      <c r="J748" s="1"/>
    </row>
    <row r="749" spans="1:10">
      <c r="A749" s="3"/>
      <c r="J749" s="1"/>
    </row>
    <row r="750" spans="1:10">
      <c r="A750" s="3"/>
      <c r="J750" s="1"/>
    </row>
    <row r="751" spans="1:10">
      <c r="A751" s="3"/>
      <c r="J751" s="1"/>
    </row>
    <row r="752" spans="1:10">
      <c r="A752" s="3"/>
      <c r="J752" s="1"/>
    </row>
    <row r="753" spans="1:10">
      <c r="A753" s="3"/>
      <c r="J753" s="1"/>
    </row>
    <row r="754" spans="1:10">
      <c r="A754" s="3"/>
      <c r="J754" s="1"/>
    </row>
    <row r="755" spans="1:10">
      <c r="A755" s="3"/>
      <c r="J755" s="1"/>
    </row>
    <row r="756" spans="1:10">
      <c r="A756" s="3"/>
      <c r="J756" s="1"/>
    </row>
    <row r="757" spans="1:10">
      <c r="A757" s="3"/>
      <c r="J757" s="1"/>
    </row>
    <row r="758" spans="1:10">
      <c r="A758" s="3"/>
      <c r="J758" s="1"/>
    </row>
    <row r="759" spans="1:10">
      <c r="A759" s="3"/>
      <c r="J759" s="1"/>
    </row>
    <row r="760" spans="1:10">
      <c r="A760" s="3"/>
      <c r="J760" s="1"/>
    </row>
    <row r="761" spans="1:10">
      <c r="A761" s="3"/>
      <c r="J761" s="1"/>
    </row>
    <row r="762" spans="1:10">
      <c r="A762" s="3"/>
      <c r="J762" s="1"/>
    </row>
    <row r="763" spans="1:10">
      <c r="A763" s="3"/>
      <c r="J763" s="1"/>
    </row>
    <row r="764" spans="1:10">
      <c r="A764" s="3"/>
      <c r="J764" s="1"/>
    </row>
    <row r="765" spans="1:10">
      <c r="A765" s="3"/>
      <c r="J765" s="1"/>
    </row>
    <row r="766" spans="1:10">
      <c r="A766" s="3"/>
      <c r="J766" s="1"/>
    </row>
    <row r="767" spans="1:10">
      <c r="A767" s="3"/>
      <c r="J767" s="1"/>
    </row>
    <row r="768" spans="1:10">
      <c r="A768" s="3"/>
      <c r="J768" s="1"/>
    </row>
    <row r="769" spans="1:10">
      <c r="A769" s="3"/>
      <c r="J769" s="1"/>
    </row>
    <row r="770" spans="1:10">
      <c r="A770" s="3"/>
      <c r="J770" s="1"/>
    </row>
    <row r="771" spans="1:10">
      <c r="A771" s="3"/>
      <c r="J771" s="1"/>
    </row>
    <row r="772" spans="1:10">
      <c r="A772" s="3"/>
      <c r="J772" s="1"/>
    </row>
    <row r="773" spans="1:10">
      <c r="A773" s="3"/>
      <c r="J773" s="1"/>
    </row>
    <row r="774" spans="1:10">
      <c r="A774" s="3"/>
      <c r="J774" s="1"/>
    </row>
    <row r="775" spans="1:10">
      <c r="A775" s="3"/>
      <c r="J775" s="1"/>
    </row>
    <row r="776" spans="1:10">
      <c r="A776" s="3"/>
      <c r="J776" s="1"/>
    </row>
    <row r="777" spans="1:10">
      <c r="A777" s="3"/>
      <c r="J777" s="1"/>
    </row>
    <row r="778" spans="1:10">
      <c r="A778" s="3"/>
      <c r="J778" s="1"/>
    </row>
    <row r="779" spans="1:10">
      <c r="A779" s="3"/>
      <c r="J779" s="1"/>
    </row>
    <row r="780" spans="1:10">
      <c r="A780" s="3"/>
      <c r="J780" s="1"/>
    </row>
    <row r="781" spans="1:10">
      <c r="A781" s="3"/>
      <c r="J781" s="1"/>
    </row>
    <row r="782" spans="1:10">
      <c r="A782" s="3"/>
      <c r="J782" s="1"/>
    </row>
    <row r="783" spans="1:10">
      <c r="A783" s="3"/>
      <c r="J783" s="1"/>
    </row>
    <row r="784" spans="1:10">
      <c r="A784" s="3"/>
      <c r="J784" s="1"/>
    </row>
    <row r="785" spans="1:10">
      <c r="A785" s="3"/>
      <c r="J785" s="1"/>
    </row>
    <row r="786" spans="1:10">
      <c r="A786" s="3"/>
      <c r="J786" s="1"/>
    </row>
    <row r="787" spans="1:10">
      <c r="A787" s="3"/>
      <c r="J787" s="1"/>
    </row>
    <row r="788" spans="1:10">
      <c r="A788" s="3"/>
      <c r="J788" s="1"/>
    </row>
    <row r="789" spans="1:10">
      <c r="A789" s="3"/>
      <c r="J789" s="1"/>
    </row>
    <row r="790" spans="1:10">
      <c r="A790" s="3"/>
      <c r="J790" s="1"/>
    </row>
    <row r="791" spans="1:10">
      <c r="A791" s="3"/>
      <c r="J791" s="1"/>
    </row>
    <row r="792" spans="1:10">
      <c r="A792" s="3"/>
      <c r="J792" s="1"/>
    </row>
    <row r="793" spans="1:10">
      <c r="A793" s="3"/>
      <c r="J793" s="1"/>
    </row>
    <row r="794" spans="1:10">
      <c r="A794" s="3"/>
      <c r="J794" s="1"/>
    </row>
    <row r="795" spans="1:10">
      <c r="A795" s="3"/>
      <c r="J795" s="1"/>
    </row>
    <row r="796" spans="1:10">
      <c r="A796" s="3"/>
      <c r="J796" s="1"/>
    </row>
    <row r="797" spans="1:10">
      <c r="A797" s="3"/>
      <c r="J797" s="1"/>
    </row>
    <row r="798" spans="1:10">
      <c r="A798" s="3"/>
      <c r="J798" s="1"/>
    </row>
    <row r="799" spans="1:10">
      <c r="A799" s="3"/>
      <c r="J799" s="1"/>
    </row>
    <row r="800" spans="1:10">
      <c r="A800" s="3"/>
      <c r="J800" s="1"/>
    </row>
    <row r="801" spans="1:10">
      <c r="A801" s="3"/>
      <c r="J801" s="1"/>
    </row>
    <row r="802" spans="1:10">
      <c r="A802" s="3"/>
      <c r="J802" s="1"/>
    </row>
    <row r="803" spans="1:10">
      <c r="A803" s="3"/>
      <c r="J803" s="1"/>
    </row>
    <row r="804" spans="1:10">
      <c r="A804" s="3"/>
      <c r="J804" s="1"/>
    </row>
    <row r="805" spans="1:10">
      <c r="A805" s="3"/>
      <c r="J805" s="1"/>
    </row>
    <row r="806" spans="1:10">
      <c r="A806" s="3"/>
      <c r="J806" s="1"/>
    </row>
    <row r="807" spans="1:10">
      <c r="A807" s="3"/>
      <c r="J807" s="1"/>
    </row>
    <row r="808" spans="1:10">
      <c r="A808" s="3"/>
      <c r="J808" s="1"/>
    </row>
    <row r="809" spans="1:10">
      <c r="A809" s="3"/>
      <c r="J809" s="1"/>
    </row>
    <row r="810" spans="1:10">
      <c r="A810" s="3"/>
      <c r="J810" s="1"/>
    </row>
    <row r="811" spans="1:10">
      <c r="A811" s="3"/>
      <c r="J811" s="1"/>
    </row>
    <row r="812" spans="1:10">
      <c r="A812" s="3"/>
      <c r="J812" s="1"/>
    </row>
    <row r="813" spans="1:10">
      <c r="A813" s="3"/>
      <c r="J813" s="1"/>
    </row>
    <row r="814" spans="1:10">
      <c r="A814" s="3"/>
      <c r="J814" s="1"/>
    </row>
    <row r="815" spans="1:10">
      <c r="A815" s="3"/>
      <c r="J815" s="1"/>
    </row>
    <row r="816" spans="1:10">
      <c r="A816" s="3"/>
      <c r="J816" s="1"/>
    </row>
    <row r="817" spans="1:10">
      <c r="A817" s="3"/>
      <c r="J817" s="1"/>
    </row>
    <row r="818" spans="1:10">
      <c r="A818" s="3"/>
      <c r="J818" s="1"/>
    </row>
    <row r="819" spans="1:10">
      <c r="A819" s="3"/>
      <c r="J819" s="1"/>
    </row>
    <row r="820" spans="1:10">
      <c r="A820" s="3"/>
      <c r="J820" s="1"/>
    </row>
    <row r="821" spans="1:10">
      <c r="A821" s="3"/>
      <c r="J821" s="1"/>
    </row>
    <row r="822" spans="1:10">
      <c r="A822" s="3"/>
      <c r="J822" s="1"/>
    </row>
    <row r="823" spans="1:10">
      <c r="A823" s="3"/>
      <c r="J823" s="1"/>
    </row>
    <row r="824" spans="1:10">
      <c r="A824" s="3"/>
      <c r="J824" s="1"/>
    </row>
    <row r="825" spans="1:10">
      <c r="A825" s="3"/>
      <c r="J825" s="1"/>
    </row>
    <row r="826" spans="1:10">
      <c r="A826" s="3"/>
      <c r="J826" s="1"/>
    </row>
    <row r="827" spans="1:10">
      <c r="A827" s="3"/>
      <c r="J827" s="1"/>
    </row>
    <row r="828" spans="1:10">
      <c r="A828" s="3"/>
      <c r="J828" s="1"/>
    </row>
    <row r="829" spans="1:10">
      <c r="A829" s="3"/>
      <c r="J829" s="1"/>
    </row>
    <row r="830" spans="1:10">
      <c r="A830" s="3"/>
      <c r="J830" s="1"/>
    </row>
    <row r="831" spans="1:10">
      <c r="A831" s="3"/>
      <c r="J831" s="1"/>
    </row>
    <row r="832" spans="1:10">
      <c r="A832" s="3"/>
      <c r="J832" s="1"/>
    </row>
    <row r="833" spans="1:10">
      <c r="A833" s="3"/>
      <c r="J833" s="1"/>
    </row>
    <row r="834" spans="1:10">
      <c r="A834" s="3"/>
      <c r="J834" s="1"/>
    </row>
    <row r="835" spans="1:10">
      <c r="A835" s="3"/>
      <c r="J835" s="1"/>
    </row>
    <row r="836" spans="1:10">
      <c r="A836" s="3"/>
      <c r="J836" s="1"/>
    </row>
    <row r="837" spans="1:10">
      <c r="A837" s="3"/>
      <c r="J837" s="1"/>
    </row>
    <row r="838" spans="1:10">
      <c r="A838" s="3"/>
      <c r="J838" s="1"/>
    </row>
    <row r="839" spans="1:10">
      <c r="A839" s="3"/>
      <c r="J839" s="1"/>
    </row>
    <row r="840" spans="1:10">
      <c r="A840" s="3"/>
      <c r="J840" s="1"/>
    </row>
    <row r="841" spans="1:10">
      <c r="A841" s="3"/>
      <c r="J841" s="1"/>
    </row>
    <row r="842" spans="1:10">
      <c r="A842" s="3"/>
      <c r="J842" s="1"/>
    </row>
    <row r="843" spans="1:10">
      <c r="A843" s="3"/>
      <c r="J843" s="1"/>
    </row>
    <row r="844" spans="1:10">
      <c r="A844" s="3"/>
      <c r="J844" s="1"/>
    </row>
    <row r="845" spans="1:10">
      <c r="A845" s="3"/>
      <c r="J845" s="1"/>
    </row>
    <row r="846" spans="1:10">
      <c r="A846" s="3"/>
      <c r="J846" s="1"/>
    </row>
    <row r="847" spans="1:10">
      <c r="A847" s="3"/>
      <c r="J847" s="1"/>
    </row>
    <row r="848" spans="1:10">
      <c r="A848" s="3"/>
      <c r="J848" s="1"/>
    </row>
    <row r="849" spans="1:10">
      <c r="A849" s="3"/>
      <c r="J849" s="1"/>
    </row>
    <row r="850" spans="1:10">
      <c r="A850" s="3"/>
      <c r="J850" s="1"/>
    </row>
    <row r="851" spans="1:10">
      <c r="A851" s="3"/>
      <c r="J851" s="1"/>
    </row>
    <row r="852" spans="1:10">
      <c r="A852" s="3"/>
      <c r="J852" s="1"/>
    </row>
    <row r="853" spans="1:10">
      <c r="A853" s="3"/>
      <c r="J853" s="1"/>
    </row>
    <row r="854" spans="1:10">
      <c r="A854" s="3"/>
      <c r="J854" s="1"/>
    </row>
    <row r="855" spans="1:10">
      <c r="A855" s="3"/>
      <c r="J855" s="1"/>
    </row>
    <row r="856" spans="1:10">
      <c r="A856" s="3"/>
      <c r="J856" s="1"/>
    </row>
    <row r="857" spans="1:10">
      <c r="A857" s="3"/>
      <c r="J857" s="1"/>
    </row>
    <row r="858" spans="1:10">
      <c r="A858" s="3"/>
      <c r="J858" s="1"/>
    </row>
    <row r="859" spans="1:10">
      <c r="A859" s="3"/>
      <c r="J859" s="1"/>
    </row>
    <row r="860" spans="1:10">
      <c r="A860" s="3"/>
      <c r="J860" s="1"/>
    </row>
    <row r="861" spans="1:10">
      <c r="A861" s="3"/>
      <c r="J861" s="1"/>
    </row>
    <row r="862" spans="1:10">
      <c r="A862" s="3"/>
      <c r="J862" s="1"/>
    </row>
    <row r="863" spans="1:10">
      <c r="A863" s="3"/>
      <c r="J863" s="1"/>
    </row>
    <row r="864" spans="1:10">
      <c r="A864" s="3"/>
      <c r="J864" s="1"/>
    </row>
    <row r="865" spans="1:10">
      <c r="A865" s="3"/>
      <c r="J865" s="1"/>
    </row>
    <row r="866" spans="1:10">
      <c r="A866" s="3"/>
      <c r="J866" s="1"/>
    </row>
    <row r="867" spans="1:10">
      <c r="A867" s="3"/>
      <c r="J867" s="1"/>
    </row>
    <row r="868" spans="1:10">
      <c r="A868" s="3"/>
      <c r="J868" s="1"/>
    </row>
    <row r="869" spans="1:10">
      <c r="A869" s="3"/>
      <c r="J869" s="1"/>
    </row>
    <row r="870" spans="1:10">
      <c r="A870" s="3"/>
      <c r="J870" s="1"/>
    </row>
    <row r="871" spans="1:10">
      <c r="A871" s="3"/>
      <c r="J871" s="1"/>
    </row>
    <row r="872" spans="1:10">
      <c r="A872" s="3"/>
      <c r="J872" s="1"/>
    </row>
    <row r="873" spans="1:10">
      <c r="A873" s="3"/>
      <c r="J873" s="1"/>
    </row>
    <row r="874" spans="1:10">
      <c r="A874" s="3"/>
      <c r="J874" s="1"/>
    </row>
    <row r="875" spans="1:10">
      <c r="A875" s="3"/>
      <c r="J875" s="1"/>
    </row>
    <row r="876" spans="1:10">
      <c r="A876" s="3"/>
      <c r="J876" s="1"/>
    </row>
    <row r="877" spans="1:10">
      <c r="A877" s="3"/>
      <c r="J877" s="1"/>
    </row>
    <row r="878" spans="1:10">
      <c r="A878" s="3"/>
      <c r="J878" s="1"/>
    </row>
    <row r="879" spans="1:10">
      <c r="A879" s="3"/>
      <c r="J879" s="1"/>
    </row>
    <row r="880" spans="1:10">
      <c r="A880" s="3"/>
      <c r="J880" s="1"/>
    </row>
    <row r="881" spans="1:10">
      <c r="A881" s="3"/>
      <c r="J881" s="1"/>
    </row>
    <row r="882" spans="1:10">
      <c r="A882" s="3"/>
      <c r="J882" s="1"/>
    </row>
    <row r="883" spans="1:10">
      <c r="A883" s="3"/>
      <c r="J883" s="1"/>
    </row>
    <row r="884" spans="1:10">
      <c r="A884" s="3"/>
      <c r="J884" s="1"/>
    </row>
    <row r="885" spans="1:10">
      <c r="A885" s="3"/>
      <c r="J885" s="1"/>
    </row>
    <row r="886" spans="1:10">
      <c r="A886" s="3"/>
      <c r="J886" s="1"/>
    </row>
    <row r="887" spans="1:10">
      <c r="A887" s="3"/>
      <c r="J887" s="1"/>
    </row>
    <row r="888" spans="1:10">
      <c r="A888" s="3"/>
      <c r="J888" s="1"/>
    </row>
    <row r="889" spans="1:10">
      <c r="A889" s="3"/>
      <c r="J889" s="1"/>
    </row>
    <row r="890" spans="1:10">
      <c r="A890" s="3"/>
      <c r="J890" s="1"/>
    </row>
    <row r="891" spans="1:10">
      <c r="A891" s="3"/>
      <c r="J891" s="1"/>
    </row>
    <row r="892" spans="1:10">
      <c r="A892" s="3"/>
      <c r="J892" s="1"/>
    </row>
    <row r="893" spans="1:10">
      <c r="A893" s="3"/>
      <c r="J893" s="1"/>
    </row>
    <row r="894" spans="1:10">
      <c r="A894" s="3"/>
      <c r="J894" s="1"/>
    </row>
    <row r="895" spans="1:10">
      <c r="A895" s="3"/>
      <c r="J895" s="1"/>
    </row>
    <row r="896" spans="1:10">
      <c r="A896" s="3"/>
      <c r="J896" s="1"/>
    </row>
    <row r="897" spans="1:10">
      <c r="A897" s="3"/>
      <c r="J897" s="1"/>
    </row>
    <row r="898" spans="1:10">
      <c r="A898" s="3"/>
      <c r="J898" s="1"/>
    </row>
    <row r="899" spans="1:10">
      <c r="A899" s="3"/>
      <c r="J899" s="1"/>
    </row>
    <row r="900" spans="1:10">
      <c r="A900" s="3"/>
      <c r="J900" s="1"/>
    </row>
    <row r="901" spans="1:10">
      <c r="A901" s="3"/>
      <c r="J901" s="1"/>
    </row>
    <row r="902" spans="1:10">
      <c r="A902" s="3"/>
      <c r="J902" s="1"/>
    </row>
    <row r="903" spans="1:10">
      <c r="A903" s="3"/>
      <c r="J903" s="1"/>
    </row>
    <row r="904" spans="1:10">
      <c r="A904" s="3"/>
      <c r="J904" s="1"/>
    </row>
    <row r="905" spans="1:10">
      <c r="A905" s="3"/>
      <c r="J905" s="1"/>
    </row>
    <row r="906" spans="1:10">
      <c r="A906" s="3"/>
      <c r="J906" s="1"/>
    </row>
    <row r="907" spans="1:10">
      <c r="A907" s="3"/>
      <c r="J907" s="1"/>
    </row>
    <row r="908" spans="1:10">
      <c r="A908" s="3"/>
      <c r="J908" s="1"/>
    </row>
    <row r="909" spans="1:10">
      <c r="A909" s="3"/>
      <c r="J909" s="1"/>
    </row>
    <row r="910" spans="1:10">
      <c r="A910" s="3"/>
      <c r="J910" s="1"/>
    </row>
    <row r="911" spans="1:10">
      <c r="A911" s="3"/>
      <c r="J911" s="1"/>
    </row>
    <row r="912" spans="1:10">
      <c r="A912" s="3"/>
      <c r="J912" s="1"/>
    </row>
    <row r="913" spans="1:10">
      <c r="A913" s="3"/>
      <c r="J913" s="1"/>
    </row>
    <row r="914" spans="1:10">
      <c r="A914" s="3"/>
      <c r="J914" s="1"/>
    </row>
    <row r="915" spans="1:10">
      <c r="A915" s="3"/>
      <c r="J915" s="1"/>
    </row>
    <row r="916" spans="1:10">
      <c r="A916" s="3"/>
      <c r="J916" s="1"/>
    </row>
    <row r="917" spans="1:10">
      <c r="A917" s="3"/>
      <c r="J917" s="1"/>
    </row>
    <row r="918" spans="1:10">
      <c r="A918" s="3"/>
      <c r="J918" s="1"/>
    </row>
    <row r="919" spans="1:10">
      <c r="A919" s="3"/>
      <c r="J919" s="1"/>
    </row>
    <row r="920" spans="1:10">
      <c r="A920" s="3"/>
      <c r="J920" s="1"/>
    </row>
    <row r="921" spans="1:10">
      <c r="A921" s="3"/>
      <c r="J921" s="1"/>
    </row>
    <row r="922" spans="1:10">
      <c r="A922" s="3"/>
      <c r="J922" s="1"/>
    </row>
    <row r="923" spans="1:10">
      <c r="A923" s="3"/>
      <c r="J923" s="1"/>
    </row>
    <row r="924" spans="1:10">
      <c r="A924" s="3"/>
      <c r="J924" s="1"/>
    </row>
    <row r="925" spans="1:10">
      <c r="A925" s="3"/>
      <c r="J925" s="1"/>
    </row>
    <row r="926" spans="1:10">
      <c r="A926" s="3"/>
      <c r="J926" s="1"/>
    </row>
    <row r="927" spans="1:10">
      <c r="A927" s="3"/>
      <c r="J927" s="1"/>
    </row>
    <row r="928" spans="1:10">
      <c r="A928" s="3"/>
      <c r="J928" s="1"/>
    </row>
    <row r="929" spans="1:10">
      <c r="A929" s="3"/>
      <c r="J929" s="1"/>
    </row>
    <row r="930" spans="1:10">
      <c r="A930" s="3"/>
      <c r="J930" s="1"/>
    </row>
    <row r="931" spans="1:10">
      <c r="A931" s="3"/>
      <c r="J931" s="1"/>
    </row>
    <row r="932" spans="1:10">
      <c r="A932" s="3"/>
      <c r="J932" s="1"/>
    </row>
    <row r="933" spans="1:10">
      <c r="A933" s="3"/>
      <c r="J933" s="1"/>
    </row>
    <row r="934" spans="1:10">
      <c r="A934" s="3"/>
      <c r="J934" s="1"/>
    </row>
    <row r="935" spans="1:10">
      <c r="A935" s="3"/>
      <c r="J935" s="1"/>
    </row>
    <row r="936" spans="1:10">
      <c r="A936" s="3"/>
      <c r="J936" s="1"/>
    </row>
    <row r="937" spans="1:10">
      <c r="A937" s="3"/>
      <c r="J937" s="1"/>
    </row>
    <row r="938" spans="1:10">
      <c r="A938" s="3"/>
      <c r="J938" s="1"/>
    </row>
    <row r="939" spans="1:10">
      <c r="A939" s="3"/>
      <c r="J939" s="1"/>
    </row>
    <row r="940" spans="1:10">
      <c r="A940" s="3"/>
      <c r="J940" s="1"/>
    </row>
    <row r="941" spans="1:10">
      <c r="A941" s="3"/>
      <c r="J941" s="1"/>
    </row>
    <row r="942" spans="1:10">
      <c r="A942" s="3"/>
      <c r="J942" s="1"/>
    </row>
    <row r="943" spans="1:10">
      <c r="A943" s="3"/>
      <c r="J943" s="1"/>
    </row>
    <row r="944" spans="1:10">
      <c r="A944" s="3"/>
      <c r="J944" s="1"/>
    </row>
    <row r="945" spans="1:10">
      <c r="A945" s="3"/>
      <c r="J945" s="1"/>
    </row>
    <row r="946" spans="1:10">
      <c r="A946" s="3"/>
      <c r="J946" s="1"/>
    </row>
    <row r="947" spans="1:10">
      <c r="A947" s="3"/>
      <c r="J947" s="1"/>
    </row>
    <row r="948" spans="1:10">
      <c r="A948" s="3"/>
      <c r="J948" s="1"/>
    </row>
    <row r="949" spans="1:10">
      <c r="A949" s="3"/>
      <c r="J949" s="1"/>
    </row>
    <row r="950" spans="1:10">
      <c r="A950" s="3"/>
      <c r="J950" s="1"/>
    </row>
    <row r="951" spans="1:10">
      <c r="A951" s="3"/>
      <c r="J951" s="1"/>
    </row>
    <row r="952" spans="1:10">
      <c r="A952" s="3"/>
      <c r="J952" s="1"/>
    </row>
    <row r="953" spans="1:10">
      <c r="A953" s="3"/>
      <c r="J953" s="1"/>
    </row>
    <row r="954" spans="1:10">
      <c r="A954" s="3"/>
      <c r="J954" s="1"/>
    </row>
    <row r="955" spans="1:10">
      <c r="A955" s="3"/>
      <c r="J955" s="1"/>
    </row>
    <row r="956" spans="1:10">
      <c r="A956" s="3"/>
      <c r="J956" s="1"/>
    </row>
    <row r="957" spans="1:10">
      <c r="A957" s="3"/>
      <c r="J957" s="1"/>
    </row>
    <row r="958" spans="1:10">
      <c r="A958" s="3"/>
      <c r="J958" s="1"/>
    </row>
    <row r="959" spans="1:10">
      <c r="A959" s="3"/>
      <c r="J959" s="1"/>
    </row>
    <row r="960" spans="1:10">
      <c r="A960" s="3"/>
      <c r="J960" s="1"/>
    </row>
    <row r="961" spans="1:10">
      <c r="A961" s="3"/>
      <c r="J961" s="1"/>
    </row>
    <row r="962" spans="1:10">
      <c r="A962" s="3"/>
      <c r="J962" s="1"/>
    </row>
    <row r="963" spans="1:10">
      <c r="A963" s="3"/>
      <c r="J963" s="1"/>
    </row>
    <row r="964" spans="1:10">
      <c r="A964" s="3"/>
      <c r="J964" s="1"/>
    </row>
    <row r="965" spans="1:10">
      <c r="A965" s="3"/>
      <c r="J965" s="1"/>
    </row>
    <row r="966" spans="1:10">
      <c r="A966" s="3"/>
      <c r="J966" s="1"/>
    </row>
    <row r="967" spans="1:10">
      <c r="A967" s="3"/>
      <c r="J967" s="1"/>
    </row>
    <row r="968" spans="1:10">
      <c r="A968" s="3"/>
      <c r="J968" s="1"/>
    </row>
    <row r="969" spans="1:10">
      <c r="A969" s="3"/>
      <c r="J969" s="1"/>
    </row>
    <row r="970" spans="1:10">
      <c r="A970" s="3"/>
      <c r="J970" s="1"/>
    </row>
    <row r="971" spans="1:10">
      <c r="A971" s="3"/>
      <c r="J971" s="1"/>
    </row>
    <row r="972" spans="1:10">
      <c r="A972" s="3"/>
      <c r="J972" s="1"/>
    </row>
    <row r="973" spans="1:10">
      <c r="A973" s="3"/>
      <c r="J973" s="1"/>
    </row>
    <row r="974" spans="1:10">
      <c r="A974" s="3"/>
      <c r="J974" s="1"/>
    </row>
    <row r="975" spans="1:10">
      <c r="A975" s="3"/>
      <c r="J975" s="1"/>
    </row>
    <row r="976" spans="1:10">
      <c r="A976" s="3"/>
      <c r="J976" s="1"/>
    </row>
    <row r="977" spans="1:10">
      <c r="A977" s="3"/>
      <c r="J977" s="1"/>
    </row>
    <row r="978" spans="1:10">
      <c r="A978" s="3"/>
      <c r="J978" s="1"/>
    </row>
    <row r="979" spans="1:10">
      <c r="A979" s="3"/>
      <c r="J979" s="1"/>
    </row>
    <row r="980" spans="1:10">
      <c r="A980" s="3"/>
      <c r="J980" s="1"/>
    </row>
    <row r="981" spans="1:10">
      <c r="A981" s="3"/>
      <c r="J981" s="1"/>
    </row>
    <row r="982" spans="1:10">
      <c r="A982" s="3"/>
      <c r="J982" s="1"/>
    </row>
    <row r="983" spans="1:10">
      <c r="A983" s="3"/>
      <c r="J983" s="1"/>
    </row>
    <row r="984" spans="1:10">
      <c r="A984" s="3"/>
      <c r="J984" s="1"/>
    </row>
    <row r="985" spans="1:10">
      <c r="A985" s="3"/>
      <c r="J985" s="1"/>
    </row>
    <row r="986" spans="1:10">
      <c r="A986" s="3"/>
      <c r="J986" s="1"/>
    </row>
    <row r="987" spans="1:10">
      <c r="A987" s="3"/>
      <c r="J987" s="1"/>
    </row>
    <row r="988" spans="1:10">
      <c r="A988" s="3"/>
      <c r="J988" s="1"/>
    </row>
    <row r="989" spans="1:10">
      <c r="A989" s="3"/>
      <c r="J989" s="1"/>
    </row>
    <row r="990" spans="1:10">
      <c r="A990" s="3"/>
      <c r="J990" s="1"/>
    </row>
    <row r="991" spans="1:10">
      <c r="A991" s="3"/>
      <c r="J991" s="1"/>
    </row>
    <row r="992" spans="1:10">
      <c r="A992" s="3"/>
      <c r="J992" s="1"/>
    </row>
    <row r="993" spans="1:10">
      <c r="A993" s="3"/>
      <c r="J993" s="1"/>
    </row>
    <row r="994" spans="1:10">
      <c r="A994" s="3"/>
      <c r="J994" s="1"/>
    </row>
    <row r="995" spans="1:10">
      <c r="A995" s="3"/>
      <c r="J995" s="1"/>
    </row>
    <row r="996" spans="1:10">
      <c r="A996" s="3"/>
      <c r="J996" s="1"/>
    </row>
    <row r="997" spans="1:10">
      <c r="A997" s="3"/>
      <c r="J997" s="1"/>
    </row>
    <row r="998" spans="1:10">
      <c r="A998" s="3"/>
      <c r="J998" s="1"/>
    </row>
    <row r="999" spans="1:10">
      <c r="A999" s="3"/>
      <c r="J999" s="1"/>
    </row>
    <row r="1000" spans="1:10">
      <c r="A1000" s="3"/>
      <c r="J1000" s="1"/>
    </row>
    <row r="1001" spans="1:10">
      <c r="A1001" s="3"/>
      <c r="J1001" s="1"/>
    </row>
    <row r="1002" spans="1:10">
      <c r="A1002" s="3"/>
      <c r="J1002" s="1"/>
    </row>
    <row r="1003" spans="1:10">
      <c r="A1003" s="3"/>
      <c r="J1003" s="1"/>
    </row>
    <row r="1004" spans="1:10">
      <c r="A1004" s="3"/>
      <c r="J1004" s="1"/>
    </row>
    <row r="1005" spans="1:10">
      <c r="A1005" s="3"/>
      <c r="J1005" s="1"/>
    </row>
    <row r="1006" spans="1:10">
      <c r="A1006" s="3"/>
      <c r="J1006" s="1"/>
    </row>
    <row r="1007" spans="1:10">
      <c r="A1007" s="3"/>
      <c r="J1007" s="1"/>
    </row>
    <row r="1008" spans="1:10">
      <c r="A1008" s="3"/>
      <c r="J1008" s="1"/>
    </row>
    <row r="1009" spans="1:10">
      <c r="A1009" s="3"/>
      <c r="J1009" s="1"/>
    </row>
    <row r="1010" spans="1:10">
      <c r="A1010" s="3"/>
      <c r="J1010" s="1"/>
    </row>
    <row r="1011" spans="1:10">
      <c r="A1011" s="3"/>
      <c r="J1011" s="1"/>
    </row>
    <row r="1012" spans="1:10">
      <c r="A1012" s="3"/>
      <c r="J1012" s="1"/>
    </row>
    <row r="1013" spans="1:10">
      <c r="A1013" s="3"/>
      <c r="J1013" s="1"/>
    </row>
    <row r="1014" spans="1:10">
      <c r="A1014" s="3"/>
      <c r="J1014" s="1"/>
    </row>
    <row r="1015" spans="1:10">
      <c r="A1015" s="3"/>
      <c r="J1015" s="1"/>
    </row>
    <row r="1016" spans="1:10">
      <c r="A1016" s="3"/>
      <c r="J1016" s="1"/>
    </row>
    <row r="1017" spans="1:10">
      <c r="A1017" s="3"/>
      <c r="J1017" s="1"/>
    </row>
    <row r="1018" spans="1:10">
      <c r="A1018" s="3"/>
      <c r="J1018" s="1"/>
    </row>
    <row r="1019" spans="1:10">
      <c r="A1019" s="3"/>
      <c r="J1019" s="1"/>
    </row>
    <row r="1020" spans="1:10">
      <c r="A1020" s="3"/>
      <c r="J1020" s="1"/>
    </row>
    <row r="1021" spans="1:10">
      <c r="A1021" s="3"/>
      <c r="J1021" s="1"/>
    </row>
    <row r="1022" spans="1:10">
      <c r="A1022" s="3"/>
      <c r="J1022" s="1"/>
    </row>
    <row r="1023" spans="1:10">
      <c r="A1023" s="3"/>
      <c r="J1023" s="1"/>
    </row>
    <row r="1024" spans="1:10">
      <c r="A1024" s="3"/>
      <c r="J1024" s="1"/>
    </row>
    <row r="1025" spans="1:10">
      <c r="A1025" s="3"/>
      <c r="J1025" s="1"/>
    </row>
    <row r="1026" spans="1:10">
      <c r="A1026" s="3"/>
      <c r="J1026" s="1"/>
    </row>
    <row r="1027" spans="1:10">
      <c r="A1027" s="3"/>
      <c r="J1027" s="1"/>
    </row>
    <row r="1028" spans="1:10">
      <c r="A1028" s="3"/>
      <c r="J1028" s="1"/>
    </row>
    <row r="1029" spans="1:10">
      <c r="A1029" s="3"/>
      <c r="J1029" s="1"/>
    </row>
    <row r="1030" spans="1:10">
      <c r="A1030" s="3"/>
      <c r="J1030" s="1"/>
    </row>
    <row r="1031" spans="1:10">
      <c r="A1031" s="3"/>
      <c r="J1031" s="1"/>
    </row>
    <row r="1032" spans="1:10">
      <c r="A1032" s="3"/>
      <c r="J1032" s="1"/>
    </row>
    <row r="1033" spans="1:10">
      <c r="A1033" s="3"/>
      <c r="J1033" s="1"/>
    </row>
    <row r="1034" spans="1:10">
      <c r="A1034" s="3"/>
      <c r="J1034" s="1"/>
    </row>
    <row r="1035" spans="1:10">
      <c r="A1035" s="3"/>
      <c r="J1035" s="1"/>
    </row>
    <row r="1036" spans="1:10">
      <c r="A1036" s="3"/>
      <c r="J1036" s="1"/>
    </row>
    <row r="1037" spans="1:10">
      <c r="A1037" s="3"/>
      <c r="J1037" s="1"/>
    </row>
    <row r="1038" spans="1:10">
      <c r="A1038" s="3"/>
      <c r="J1038" s="1"/>
    </row>
    <row r="1039" spans="1:10">
      <c r="A1039" s="3"/>
      <c r="J1039" s="1"/>
    </row>
    <row r="1040" spans="1:10">
      <c r="A1040" s="3"/>
      <c r="J1040" s="1"/>
    </row>
    <row r="1041" spans="1:10">
      <c r="A1041" s="3"/>
      <c r="J1041" s="1"/>
    </row>
    <row r="1042" spans="1:10">
      <c r="A1042" s="3"/>
      <c r="J1042" s="1"/>
    </row>
    <row r="1043" spans="1:10">
      <c r="A1043" s="3"/>
      <c r="J1043" s="1"/>
    </row>
    <row r="1044" spans="1:10">
      <c r="A1044" s="3"/>
      <c r="J1044" s="1"/>
    </row>
    <row r="1045" spans="1:10">
      <c r="A1045" s="3"/>
      <c r="J1045" s="1"/>
    </row>
    <row r="1046" spans="1:10">
      <c r="A1046" s="3"/>
      <c r="J1046" s="1"/>
    </row>
    <row r="1047" spans="1:10">
      <c r="A1047" s="3"/>
      <c r="J1047" s="1"/>
    </row>
    <row r="1048" spans="1:10">
      <c r="A1048" s="3"/>
      <c r="J1048" s="1"/>
    </row>
    <row r="1049" spans="1:10">
      <c r="A1049" s="3"/>
      <c r="J1049" s="1"/>
    </row>
    <row r="1050" spans="1:10">
      <c r="A1050" s="3"/>
      <c r="J1050" s="1"/>
    </row>
    <row r="1051" spans="1:10">
      <c r="A1051" s="3"/>
      <c r="J1051" s="1"/>
    </row>
    <row r="1052" spans="1:10">
      <c r="A1052" s="3"/>
      <c r="J1052" s="1"/>
    </row>
    <row r="1053" spans="1:10">
      <c r="A1053" s="3"/>
      <c r="J1053" s="1"/>
    </row>
    <row r="1054" spans="1:10">
      <c r="A1054" s="3"/>
      <c r="J1054" s="1"/>
    </row>
    <row r="1055" spans="1:10">
      <c r="A1055" s="3"/>
      <c r="J1055" s="1"/>
    </row>
    <row r="1056" spans="1:10">
      <c r="A1056" s="3"/>
      <c r="J1056" s="1"/>
    </row>
    <row r="1057" spans="1:10">
      <c r="A1057" s="3"/>
      <c r="J1057" s="1"/>
    </row>
    <row r="1058" spans="1:10">
      <c r="A1058" s="3"/>
      <c r="J1058" s="1"/>
    </row>
    <row r="1059" spans="1:10">
      <c r="A1059" s="3"/>
      <c r="J1059" s="1"/>
    </row>
    <row r="1060" spans="1:10">
      <c r="A1060" s="3"/>
      <c r="J1060" s="1"/>
    </row>
    <row r="1061" spans="1:10">
      <c r="A1061" s="3"/>
      <c r="J1061" s="1"/>
    </row>
    <row r="1062" spans="1:10">
      <c r="A1062" s="3"/>
      <c r="J1062" s="1"/>
    </row>
    <row r="1063" spans="1:10">
      <c r="A1063" s="3"/>
      <c r="J1063" s="1"/>
    </row>
    <row r="1064" spans="1:10">
      <c r="A1064" s="3"/>
      <c r="J1064" s="1"/>
    </row>
    <row r="1065" spans="1:10">
      <c r="A1065" s="3"/>
      <c r="J1065" s="1"/>
    </row>
    <row r="1066" spans="1:10">
      <c r="A1066" s="3"/>
      <c r="J1066" s="1"/>
    </row>
    <row r="1067" spans="1:10">
      <c r="A1067" s="3"/>
      <c r="J1067" s="1"/>
    </row>
    <row r="1068" spans="1:10">
      <c r="A1068" s="3"/>
      <c r="J1068" s="1"/>
    </row>
    <row r="1069" spans="1:10">
      <c r="A1069" s="3"/>
      <c r="J1069" s="1"/>
    </row>
    <row r="1070" spans="1:10">
      <c r="A1070" s="3"/>
      <c r="J1070" s="1"/>
    </row>
    <row r="1071" spans="1:10">
      <c r="A1071" s="3"/>
      <c r="J1071" s="1"/>
    </row>
    <row r="1072" spans="1:10">
      <c r="A1072" s="3"/>
      <c r="J1072" s="1"/>
    </row>
    <row r="1073" spans="1:10">
      <c r="A1073" s="3"/>
      <c r="J1073" s="1"/>
    </row>
    <row r="1074" spans="1:10">
      <c r="A1074" s="3"/>
      <c r="J1074" s="1"/>
    </row>
    <row r="1075" spans="1:10">
      <c r="A1075" s="3"/>
      <c r="J1075" s="1"/>
    </row>
    <row r="1076" spans="1:10">
      <c r="A1076" s="3"/>
      <c r="J1076" s="1"/>
    </row>
    <row r="1077" spans="1:10">
      <c r="A1077" s="3"/>
      <c r="J1077" s="1"/>
    </row>
    <row r="1078" spans="1:10">
      <c r="A1078" s="3"/>
      <c r="J1078" s="1"/>
    </row>
    <row r="1079" spans="1:10">
      <c r="A1079" s="3"/>
      <c r="J1079" s="1"/>
    </row>
    <row r="1080" spans="1:10">
      <c r="A1080" s="3"/>
      <c r="J1080" s="1"/>
    </row>
    <row r="1081" spans="1:10">
      <c r="A1081" s="3"/>
      <c r="J1081" s="1"/>
    </row>
    <row r="1082" spans="1:10">
      <c r="A1082" s="3"/>
      <c r="J1082" s="1"/>
    </row>
    <row r="1083" spans="1:10">
      <c r="A1083" s="3"/>
      <c r="J1083" s="1"/>
    </row>
    <row r="1084" spans="1:10">
      <c r="A1084" s="3"/>
      <c r="J1084" s="1"/>
    </row>
    <row r="1085" spans="1:10">
      <c r="A1085" s="3"/>
      <c r="J1085" s="1"/>
    </row>
    <row r="1086" spans="1:10">
      <c r="A1086" s="3"/>
      <c r="J1086" s="1"/>
    </row>
    <row r="1087" spans="1:10">
      <c r="A1087" s="3"/>
      <c r="J1087" s="1"/>
    </row>
    <row r="1088" spans="1:10">
      <c r="A1088" s="3"/>
      <c r="J1088" s="1"/>
    </row>
    <row r="1089" spans="1:10">
      <c r="A1089" s="3"/>
      <c r="J1089" s="1"/>
    </row>
    <row r="1090" spans="1:10">
      <c r="A1090" s="3"/>
      <c r="J1090" s="1"/>
    </row>
    <row r="1091" spans="1:10">
      <c r="A1091" s="3"/>
      <c r="J1091" s="1"/>
    </row>
    <row r="1092" spans="1:10">
      <c r="A1092" s="3"/>
      <c r="J1092" s="1"/>
    </row>
    <row r="1093" spans="1:10">
      <c r="A1093" s="3"/>
      <c r="J1093" s="1"/>
    </row>
    <row r="1094" spans="1:10">
      <c r="A1094" s="3"/>
      <c r="J1094" s="1"/>
    </row>
    <row r="1095" spans="1:10">
      <c r="A1095" s="3"/>
      <c r="J1095" s="1"/>
    </row>
    <row r="1096" spans="1:10">
      <c r="A1096" s="3"/>
      <c r="J1096" s="1"/>
    </row>
    <row r="1097" spans="1:10">
      <c r="A1097" s="3"/>
      <c r="J1097" s="1"/>
    </row>
    <row r="1098" spans="1:10">
      <c r="A1098" s="3"/>
      <c r="J1098" s="1"/>
    </row>
    <row r="1099" spans="1:10">
      <c r="A1099" s="3"/>
      <c r="J1099" s="1"/>
    </row>
    <row r="1100" spans="1:10">
      <c r="A1100" s="3"/>
      <c r="J1100" s="1"/>
    </row>
    <row r="1101" spans="1:10">
      <c r="A1101" s="3"/>
      <c r="J1101" s="1"/>
    </row>
    <row r="1102" spans="1:10">
      <c r="A1102" s="3"/>
      <c r="J1102" s="1"/>
    </row>
    <row r="1103" spans="1:10">
      <c r="A1103" s="3"/>
      <c r="J1103" s="1"/>
    </row>
    <row r="1104" spans="1:10">
      <c r="A1104" s="3"/>
      <c r="J1104" s="1"/>
    </row>
    <row r="1105" spans="1:10">
      <c r="A1105" s="3"/>
      <c r="J1105" s="1"/>
    </row>
    <row r="1106" spans="1:10">
      <c r="A1106" s="3"/>
      <c r="J1106" s="1"/>
    </row>
    <row r="1107" spans="1:10">
      <c r="A1107" s="3"/>
      <c r="J1107" s="1"/>
    </row>
    <row r="1108" spans="1:10">
      <c r="A1108" s="3"/>
      <c r="J1108" s="1"/>
    </row>
    <row r="1109" spans="1:10">
      <c r="A1109" s="3"/>
      <c r="J1109" s="1"/>
    </row>
    <row r="1110" spans="1:10">
      <c r="A1110" s="3"/>
      <c r="J1110" s="1"/>
    </row>
    <row r="1111" spans="1:10">
      <c r="A1111" s="3"/>
      <c r="J1111" s="1"/>
    </row>
    <row r="1112" spans="1:10">
      <c r="A1112" s="3"/>
      <c r="J1112" s="1"/>
    </row>
    <row r="1113" spans="1:10">
      <c r="A1113" s="3"/>
      <c r="J1113" s="1"/>
    </row>
    <row r="1114" spans="1:10">
      <c r="A1114" s="3"/>
      <c r="J1114" s="1"/>
    </row>
    <row r="1115" spans="1:10">
      <c r="A1115" s="3"/>
      <c r="J1115" s="1"/>
    </row>
    <row r="1116" spans="1:10">
      <c r="A1116" s="3"/>
      <c r="J1116" s="1"/>
    </row>
    <row r="1117" spans="1:10">
      <c r="A1117" s="3"/>
      <c r="J1117" s="1"/>
    </row>
    <row r="1118" spans="1:10">
      <c r="A1118" s="3"/>
      <c r="J1118" s="1"/>
    </row>
    <row r="1119" spans="1:10">
      <c r="A1119" s="3"/>
      <c r="J1119" s="1"/>
    </row>
    <row r="1120" spans="1:10">
      <c r="A1120" s="3"/>
      <c r="J1120" s="1"/>
    </row>
    <row r="1121" spans="1:10">
      <c r="A1121" s="3"/>
      <c r="J1121" s="1"/>
    </row>
    <row r="1122" spans="1:10">
      <c r="A1122" s="3"/>
      <c r="J1122" s="1"/>
    </row>
    <row r="1123" spans="1:10">
      <c r="A1123" s="3"/>
      <c r="J1123" s="1"/>
    </row>
    <row r="1124" spans="1:10">
      <c r="A1124" s="3"/>
      <c r="J1124" s="1"/>
    </row>
    <row r="1125" spans="1:10">
      <c r="A1125" s="3"/>
      <c r="J1125" s="1"/>
    </row>
    <row r="1126" spans="1:10">
      <c r="A1126" s="3"/>
      <c r="J1126" s="1"/>
    </row>
    <row r="1127" spans="1:10">
      <c r="A1127" s="3"/>
      <c r="J1127" s="1"/>
    </row>
    <row r="1128" spans="1:10">
      <c r="A1128" s="3"/>
      <c r="J1128" s="1"/>
    </row>
    <row r="1129" spans="1:10">
      <c r="A1129" s="3"/>
      <c r="J1129" s="1"/>
    </row>
    <row r="1130" spans="1:10">
      <c r="A1130" s="3"/>
      <c r="J1130" s="1"/>
    </row>
    <row r="1131" spans="1:10">
      <c r="A1131" s="3"/>
      <c r="J1131" s="1"/>
    </row>
    <row r="1132" spans="1:10">
      <c r="A1132" s="3"/>
      <c r="J1132" s="1"/>
    </row>
    <row r="1133" spans="1:10">
      <c r="A1133" s="3"/>
      <c r="J1133" s="1"/>
    </row>
    <row r="1134" spans="1:10">
      <c r="A1134" s="3"/>
      <c r="J1134" s="1"/>
    </row>
    <row r="1135" spans="1:10">
      <c r="A1135" s="3"/>
      <c r="J1135" s="1"/>
    </row>
    <row r="1136" spans="1:10">
      <c r="A1136" s="3"/>
      <c r="J1136" s="1"/>
    </row>
    <row r="1137" spans="1:10">
      <c r="A1137" s="3"/>
      <c r="J1137" s="1"/>
    </row>
    <row r="1138" spans="1:10">
      <c r="A1138" s="3"/>
      <c r="J1138" s="1"/>
    </row>
    <row r="1139" spans="1:10">
      <c r="A1139" s="3"/>
      <c r="J1139" s="1"/>
    </row>
    <row r="1140" spans="1:10">
      <c r="A1140" s="3"/>
      <c r="J1140" s="1"/>
    </row>
    <row r="1141" spans="1:10">
      <c r="A1141" s="3"/>
      <c r="J1141" s="1"/>
    </row>
    <row r="1142" spans="1:10">
      <c r="A1142" s="3"/>
      <c r="J1142" s="1"/>
    </row>
    <row r="1143" spans="1:10">
      <c r="A1143" s="3"/>
      <c r="J1143" s="1"/>
    </row>
    <row r="1144" spans="1:10">
      <c r="A1144" s="3"/>
      <c r="J1144" s="1"/>
    </row>
    <row r="1145" spans="1:10">
      <c r="A1145" s="3"/>
      <c r="J1145" s="1"/>
    </row>
    <row r="1146" spans="1:10">
      <c r="A1146" s="3"/>
      <c r="J1146" s="1"/>
    </row>
    <row r="1147" spans="1:10">
      <c r="A1147" s="3"/>
      <c r="J1147" s="1"/>
    </row>
    <row r="1148" spans="1:10">
      <c r="A1148" s="3"/>
      <c r="J1148" s="1"/>
    </row>
    <row r="1149" spans="1:10">
      <c r="A1149" s="3"/>
      <c r="J1149" s="1"/>
    </row>
    <row r="1150" spans="1:10">
      <c r="A1150" s="3"/>
      <c r="J1150" s="1"/>
    </row>
    <row r="1151" spans="1:10">
      <c r="A1151" s="3"/>
      <c r="J1151" s="1"/>
    </row>
    <row r="1152" spans="1:10">
      <c r="A1152" s="3"/>
      <c r="J1152" s="1"/>
    </row>
    <row r="1153" spans="1:10">
      <c r="A1153" s="3"/>
      <c r="J1153" s="1"/>
    </row>
    <row r="1154" spans="1:10">
      <c r="A1154" s="3"/>
      <c r="J1154" s="1"/>
    </row>
    <row r="1155" spans="1:10">
      <c r="A1155" s="3"/>
      <c r="J1155" s="1"/>
    </row>
    <row r="1156" spans="1:10">
      <c r="A1156" s="3"/>
      <c r="J1156" s="1"/>
    </row>
    <row r="1157" spans="1:10">
      <c r="A1157" s="3"/>
      <c r="J1157" s="1"/>
    </row>
    <row r="1158" spans="1:10">
      <c r="A1158" s="3"/>
      <c r="J1158" s="1"/>
    </row>
    <row r="1159" spans="1:10">
      <c r="A1159" s="3"/>
      <c r="J1159" s="1"/>
    </row>
    <row r="1160" spans="1:10">
      <c r="A1160" s="3"/>
      <c r="J1160" s="1"/>
    </row>
    <row r="1161" spans="1:10">
      <c r="A1161" s="3"/>
      <c r="J1161" s="1"/>
    </row>
    <row r="1162" spans="1:10">
      <c r="A1162" s="3"/>
      <c r="J1162" s="1"/>
    </row>
    <row r="1163" spans="1:10">
      <c r="A1163" s="3"/>
      <c r="J1163" s="1"/>
    </row>
    <row r="1164" spans="1:10">
      <c r="A1164" s="3"/>
      <c r="J1164" s="1"/>
    </row>
    <row r="1165" spans="1:10">
      <c r="A1165" s="3"/>
      <c r="J1165" s="1"/>
    </row>
    <row r="1166" spans="1:10">
      <c r="A1166" s="3"/>
      <c r="J1166" s="1"/>
    </row>
    <row r="1167" spans="1:10">
      <c r="A1167" s="3"/>
      <c r="J1167" s="1"/>
    </row>
    <row r="1168" spans="1:10">
      <c r="A1168" s="3"/>
      <c r="J1168" s="1"/>
    </row>
    <row r="1169" spans="1:10">
      <c r="A1169" s="3"/>
      <c r="J1169" s="1"/>
    </row>
    <row r="1170" spans="1:10">
      <c r="A1170" s="3"/>
      <c r="J1170" s="1"/>
    </row>
    <row r="1171" spans="1:10">
      <c r="A1171" s="3"/>
      <c r="J1171" s="1"/>
    </row>
    <row r="1172" spans="1:10">
      <c r="A1172" s="3"/>
      <c r="J1172" s="1"/>
    </row>
    <row r="1173" spans="1:10">
      <c r="A1173" s="3"/>
      <c r="J1173" s="1"/>
    </row>
    <row r="1174" spans="1:10">
      <c r="A1174" s="3"/>
      <c r="J1174" s="1"/>
    </row>
    <row r="1175" spans="1:10">
      <c r="A1175" s="3"/>
      <c r="J1175" s="1"/>
    </row>
    <row r="1176" spans="1:10">
      <c r="A1176" s="3"/>
      <c r="J1176" s="1"/>
    </row>
    <row r="1177" spans="1:10">
      <c r="A1177" s="3"/>
      <c r="J1177" s="1"/>
    </row>
    <row r="1178" spans="1:10">
      <c r="A1178" s="3"/>
      <c r="J1178" s="1"/>
    </row>
    <row r="1179" spans="1:10">
      <c r="A1179" s="3"/>
      <c r="J1179" s="1"/>
    </row>
    <row r="1180" spans="1:10">
      <c r="A1180" s="3"/>
      <c r="J1180" s="1"/>
    </row>
    <row r="1181" spans="1:10">
      <c r="A1181" s="3"/>
      <c r="J1181" s="1"/>
    </row>
    <row r="1182" spans="1:10">
      <c r="A1182" s="3"/>
      <c r="J1182" s="1"/>
    </row>
    <row r="1183" spans="1:10">
      <c r="A1183" s="3"/>
      <c r="J1183" s="1"/>
    </row>
    <row r="1184" spans="1:10">
      <c r="A1184" s="3"/>
      <c r="J1184" s="1"/>
    </row>
    <row r="1185" spans="1:10">
      <c r="A1185" s="3"/>
      <c r="J1185" s="1"/>
    </row>
    <row r="1186" spans="1:10">
      <c r="A1186" s="3"/>
      <c r="J1186" s="1"/>
    </row>
    <row r="1187" spans="1:10">
      <c r="A1187" s="3"/>
      <c r="J1187" s="1"/>
    </row>
    <row r="1188" spans="1:10">
      <c r="A1188" s="3"/>
      <c r="J1188" s="1"/>
    </row>
    <row r="1189" spans="1:10">
      <c r="A1189" s="3"/>
      <c r="J1189" s="1"/>
    </row>
    <row r="1190" spans="1:10">
      <c r="A1190" s="3"/>
      <c r="J1190" s="1"/>
    </row>
    <row r="1191" spans="1:10">
      <c r="A1191" s="3"/>
      <c r="J1191" s="1"/>
    </row>
    <row r="1192" spans="1:10">
      <c r="A1192" s="3"/>
      <c r="J1192" s="1"/>
    </row>
    <row r="1193" spans="1:10">
      <c r="A1193" s="3"/>
      <c r="J1193" s="1"/>
    </row>
    <row r="1194" spans="1:10">
      <c r="A1194" s="3"/>
      <c r="J1194" s="1"/>
    </row>
    <row r="1195" spans="1:10">
      <c r="A1195" s="3"/>
      <c r="J1195" s="1"/>
    </row>
    <row r="1196" spans="1:10">
      <c r="A1196" s="3"/>
      <c r="J1196" s="1"/>
    </row>
    <row r="1197" spans="1:10">
      <c r="A1197" s="3"/>
      <c r="J1197" s="1"/>
    </row>
    <row r="1198" spans="1:10">
      <c r="A1198" s="3"/>
      <c r="J1198" s="1"/>
    </row>
    <row r="1199" spans="1:10">
      <c r="A1199" s="3"/>
      <c r="J1199" s="1"/>
    </row>
    <row r="1200" spans="1:10">
      <c r="A1200" s="3"/>
      <c r="J1200" s="1"/>
    </row>
    <row r="1201" spans="1:10">
      <c r="A1201" s="3"/>
      <c r="J1201" s="1"/>
    </row>
    <row r="1202" spans="1:10">
      <c r="A1202" s="3"/>
      <c r="J1202" s="1"/>
    </row>
    <row r="1203" spans="1:10">
      <c r="A1203" s="3"/>
      <c r="J1203" s="1"/>
    </row>
    <row r="1204" spans="1:10">
      <c r="A1204" s="3"/>
      <c r="J1204" s="1"/>
    </row>
    <row r="1205" spans="1:10">
      <c r="A1205" s="3"/>
      <c r="J1205" s="1"/>
    </row>
    <row r="1206" spans="1:10">
      <c r="A1206" s="3"/>
      <c r="J1206" s="1"/>
    </row>
    <row r="1207" spans="1:10">
      <c r="A1207" s="3"/>
      <c r="J1207" s="1"/>
    </row>
    <row r="1208" spans="1:10">
      <c r="A1208" s="3"/>
      <c r="J1208" s="1"/>
    </row>
    <row r="1209" spans="1:10">
      <c r="A1209" s="3"/>
      <c r="J1209" s="1"/>
    </row>
    <row r="1210" spans="1:10">
      <c r="A1210" s="3"/>
      <c r="J1210" s="1"/>
    </row>
    <row r="1211" spans="1:10">
      <c r="A1211" s="3"/>
      <c r="J1211" s="1"/>
    </row>
    <row r="1212" spans="1:10">
      <c r="A1212" s="3"/>
      <c r="J1212" s="1"/>
    </row>
    <row r="1213" spans="1:10">
      <c r="A1213" s="3"/>
      <c r="J1213" s="1"/>
    </row>
    <row r="1214" spans="1:10">
      <c r="A1214" s="3"/>
      <c r="J1214" s="1"/>
    </row>
    <row r="1215" spans="1:10">
      <c r="A1215" s="3"/>
      <c r="J1215" s="1"/>
    </row>
    <row r="1216" spans="1:10">
      <c r="A1216" s="3"/>
      <c r="J1216" s="1"/>
    </row>
    <row r="1217" spans="1:10">
      <c r="A1217" s="3"/>
      <c r="J1217" s="1"/>
    </row>
    <row r="1218" spans="1:10">
      <c r="A1218" s="3"/>
      <c r="J1218" s="1"/>
    </row>
    <row r="1219" spans="1:10">
      <c r="A1219" s="3"/>
      <c r="J1219" s="1"/>
    </row>
    <row r="1220" spans="1:10">
      <c r="A1220" s="3"/>
      <c r="J1220" s="1"/>
    </row>
    <row r="1221" spans="1:10">
      <c r="A1221" s="3"/>
      <c r="J1221" s="1"/>
    </row>
    <row r="1222" spans="1:10">
      <c r="A1222" s="3"/>
      <c r="J1222" s="1"/>
    </row>
    <row r="1223" spans="1:10">
      <c r="A1223" s="3"/>
      <c r="J1223" s="1"/>
    </row>
    <row r="1224" spans="1:10">
      <c r="A1224" s="3"/>
      <c r="J1224" s="1"/>
    </row>
    <row r="1225" spans="1:10">
      <c r="A1225" s="3"/>
      <c r="J1225" s="1"/>
    </row>
    <row r="1226" spans="1:10">
      <c r="A1226" s="3"/>
      <c r="J1226" s="1"/>
    </row>
    <row r="1227" spans="1:10">
      <c r="A1227" s="3"/>
      <c r="J1227" s="1"/>
    </row>
    <row r="1228" spans="1:10">
      <c r="A1228" s="3"/>
      <c r="J1228" s="1"/>
    </row>
    <row r="1229" spans="1:10">
      <c r="A1229" s="3"/>
      <c r="J1229" s="1"/>
    </row>
    <row r="1230" spans="1:10">
      <c r="A1230" s="3"/>
      <c r="J1230" s="1"/>
    </row>
    <row r="1231" spans="1:10">
      <c r="A1231" s="3"/>
      <c r="J1231" s="1"/>
    </row>
    <row r="1232" spans="1:10">
      <c r="A1232" s="3"/>
      <c r="J1232" s="1"/>
    </row>
    <row r="1233" spans="1:10">
      <c r="A1233" s="3"/>
      <c r="J1233" s="1"/>
    </row>
    <row r="1234" spans="1:10">
      <c r="A1234" s="3"/>
      <c r="J1234" s="1"/>
    </row>
    <row r="1235" spans="1:10">
      <c r="A1235" s="3"/>
      <c r="J1235" s="1"/>
    </row>
    <row r="1236" spans="1:10">
      <c r="A1236" s="3"/>
      <c r="J1236" s="1"/>
    </row>
    <row r="1237" spans="1:10">
      <c r="A1237" s="3"/>
      <c r="J1237" s="1"/>
    </row>
    <row r="1238" spans="1:10">
      <c r="A1238" s="3"/>
      <c r="J1238" s="1"/>
    </row>
    <row r="1239" spans="1:10">
      <c r="A1239" s="3"/>
      <c r="J1239" s="1"/>
    </row>
    <row r="1240" spans="1:10">
      <c r="A1240" s="3"/>
      <c r="J1240" s="1"/>
    </row>
    <row r="1241" spans="1:10">
      <c r="A1241" s="3"/>
      <c r="J1241" s="1"/>
    </row>
    <row r="1242" spans="1:10">
      <c r="A1242" s="3"/>
      <c r="J1242" s="1"/>
    </row>
    <row r="1243" spans="1:10">
      <c r="A1243" s="3"/>
      <c r="J1243" s="1"/>
    </row>
    <row r="1244" spans="1:10">
      <c r="A1244" s="3"/>
      <c r="J1244" s="1"/>
    </row>
    <row r="1245" spans="1:10">
      <c r="A1245" s="3"/>
      <c r="J1245" s="1"/>
    </row>
    <row r="1246" spans="1:10">
      <c r="A1246" s="3"/>
      <c r="J1246" s="1"/>
    </row>
    <row r="1247" spans="1:10">
      <c r="A1247" s="3"/>
      <c r="J1247" s="1"/>
    </row>
    <row r="1248" spans="1:10">
      <c r="A1248" s="3"/>
      <c r="J1248" s="1"/>
    </row>
    <row r="1249" spans="1:10">
      <c r="A1249" s="3"/>
      <c r="J1249" s="1"/>
    </row>
    <row r="1250" spans="1:10">
      <c r="A1250" s="3"/>
      <c r="J1250" s="1"/>
    </row>
    <row r="1251" spans="1:10">
      <c r="A1251" s="3"/>
      <c r="J1251" s="1"/>
    </row>
    <row r="1252" spans="1:10">
      <c r="A1252" s="3"/>
      <c r="J1252" s="1"/>
    </row>
    <row r="1253" spans="1:10">
      <c r="A1253" s="3"/>
      <c r="J1253" s="1"/>
    </row>
    <row r="1254" spans="1:10">
      <c r="A1254" s="3"/>
      <c r="J1254" s="1"/>
    </row>
    <row r="1255" spans="1:10">
      <c r="A1255" s="3"/>
      <c r="J1255" s="1"/>
    </row>
    <row r="1256" spans="1:10">
      <c r="A1256" s="3"/>
      <c r="J1256" s="1"/>
    </row>
    <row r="1257" spans="1:10">
      <c r="A1257" s="3"/>
      <c r="J1257" s="1"/>
    </row>
    <row r="1258" spans="1:10">
      <c r="A1258" s="3"/>
      <c r="J1258" s="1"/>
    </row>
    <row r="1259" spans="1:10">
      <c r="A1259" s="3"/>
      <c r="J1259" s="1"/>
    </row>
    <row r="1260" spans="1:10">
      <c r="A1260" s="3"/>
      <c r="J1260" s="1"/>
    </row>
    <row r="1261" spans="1:10">
      <c r="A1261" s="3"/>
      <c r="J1261" s="1"/>
    </row>
    <row r="1262" spans="1:10">
      <c r="A1262" s="3"/>
      <c r="J1262" s="1"/>
    </row>
    <row r="1263" spans="1:10">
      <c r="A1263" s="3"/>
      <c r="J1263" s="1"/>
    </row>
    <row r="1264" spans="1:10">
      <c r="A1264" s="3"/>
      <c r="J1264" s="1"/>
    </row>
    <row r="1265" spans="1:10">
      <c r="A1265" s="3"/>
      <c r="J1265" s="1"/>
    </row>
    <row r="1266" spans="1:10">
      <c r="A1266" s="3"/>
      <c r="J1266" s="1"/>
    </row>
    <row r="1267" spans="1:10">
      <c r="A1267" s="3"/>
      <c r="J1267" s="1"/>
    </row>
    <row r="1268" spans="1:10">
      <c r="A1268" s="3"/>
      <c r="J1268" s="1"/>
    </row>
    <row r="1269" spans="1:10">
      <c r="A1269" s="3"/>
      <c r="J1269" s="1"/>
    </row>
    <row r="1270" spans="1:10">
      <c r="A1270" s="3"/>
      <c r="J1270" s="1"/>
    </row>
    <row r="1271" spans="1:10">
      <c r="A1271" s="3"/>
      <c r="J1271" s="1"/>
    </row>
    <row r="1272" spans="1:10">
      <c r="A1272" s="3"/>
      <c r="J1272" s="1"/>
    </row>
    <row r="1273" spans="1:10">
      <c r="A1273" s="3"/>
      <c r="J1273" s="1"/>
    </row>
    <row r="1274" spans="1:10">
      <c r="A1274" s="3"/>
      <c r="J1274" s="1"/>
    </row>
    <row r="1275" spans="1:10">
      <c r="A1275" s="3"/>
      <c r="J1275" s="1"/>
    </row>
    <row r="1276" spans="1:10">
      <c r="A1276" s="3"/>
      <c r="J1276" s="1"/>
    </row>
    <row r="1277" spans="1:10">
      <c r="A1277" s="3"/>
      <c r="J1277" s="1"/>
    </row>
    <row r="1278" spans="1:10">
      <c r="A1278" s="3"/>
      <c r="J1278" s="1"/>
    </row>
    <row r="1279" spans="1:10">
      <c r="A1279" s="3"/>
      <c r="J1279" s="1"/>
    </row>
    <row r="1280" spans="1:10">
      <c r="A1280" s="3"/>
      <c r="J1280" s="1"/>
    </row>
    <row r="1281" spans="1:10">
      <c r="A1281" s="3"/>
      <c r="J1281" s="1"/>
    </row>
    <row r="1282" spans="1:10">
      <c r="A1282" s="3"/>
      <c r="J1282" s="1"/>
    </row>
    <row r="1283" spans="1:10">
      <c r="A1283" s="3"/>
      <c r="J1283" s="1"/>
    </row>
    <row r="1284" spans="1:10">
      <c r="A1284" s="3"/>
      <c r="J1284" s="1"/>
    </row>
    <row r="1285" spans="1:10">
      <c r="A1285" s="3"/>
      <c r="J1285" s="1"/>
    </row>
    <row r="1286" spans="1:10">
      <c r="A1286" s="3"/>
      <c r="J1286" s="1"/>
    </row>
    <row r="1287" spans="1:10">
      <c r="A1287" s="3"/>
      <c r="J1287" s="1"/>
    </row>
    <row r="1288" spans="1:10">
      <c r="A1288" s="3"/>
      <c r="J1288" s="1"/>
    </row>
    <row r="1289" spans="1:10">
      <c r="A1289" s="3"/>
      <c r="J1289" s="1"/>
    </row>
    <row r="1290" spans="1:10">
      <c r="A1290" s="3"/>
      <c r="J1290" s="1"/>
    </row>
    <row r="1291" spans="1:10">
      <c r="A1291" s="3"/>
      <c r="J1291" s="1"/>
    </row>
    <row r="1292" spans="1:10">
      <c r="A1292" s="3"/>
      <c r="J1292" s="1"/>
    </row>
    <row r="1293" spans="1:10">
      <c r="A1293" s="3"/>
      <c r="J1293" s="1"/>
    </row>
    <row r="1294" spans="1:10">
      <c r="A1294" s="3"/>
      <c r="J1294" s="1"/>
    </row>
    <row r="1295" spans="1:10">
      <c r="A1295" s="3"/>
      <c r="J1295" s="1"/>
    </row>
    <row r="1296" spans="1:10">
      <c r="A1296" s="3"/>
      <c r="J1296" s="1"/>
    </row>
    <row r="1297" spans="1:10">
      <c r="A1297" s="3"/>
      <c r="J1297" s="1"/>
    </row>
    <row r="1298" spans="1:10">
      <c r="A1298" s="3"/>
      <c r="J1298" s="1"/>
    </row>
    <row r="1299" spans="1:10">
      <c r="A1299" s="3"/>
      <c r="J1299" s="1"/>
    </row>
    <row r="1300" spans="1:10">
      <c r="A1300" s="3"/>
      <c r="J1300" s="1"/>
    </row>
    <row r="1301" spans="1:10">
      <c r="A1301" s="3"/>
      <c r="J1301" s="1"/>
    </row>
    <row r="1302" spans="1:10">
      <c r="A1302" s="3"/>
      <c r="J1302" s="1"/>
    </row>
    <row r="1303" spans="1:10">
      <c r="A1303" s="3"/>
      <c r="J1303" s="1"/>
    </row>
    <row r="1304" spans="1:10">
      <c r="A1304" s="3"/>
      <c r="J1304" s="1"/>
    </row>
    <row r="1305" spans="1:10">
      <c r="A1305" s="3"/>
      <c r="J1305" s="1"/>
    </row>
    <row r="1306" spans="1:10">
      <c r="A1306" s="3"/>
      <c r="J1306" s="1"/>
    </row>
    <row r="1307" spans="1:10">
      <c r="A1307" s="3"/>
      <c r="J1307" s="1"/>
    </row>
    <row r="1308" spans="1:10">
      <c r="A1308" s="3"/>
      <c r="J1308" s="1"/>
    </row>
    <row r="1309" spans="1:10">
      <c r="A1309" s="3"/>
      <c r="J1309" s="1"/>
    </row>
    <row r="1310" spans="1:10">
      <c r="A1310" s="3"/>
      <c r="J1310" s="1"/>
    </row>
    <row r="1311" spans="1:10">
      <c r="A1311" s="3"/>
      <c r="J1311" s="1"/>
    </row>
    <row r="1312" spans="1:10">
      <c r="A1312" s="3"/>
      <c r="J1312" s="1"/>
    </row>
    <row r="1313" spans="1:10">
      <c r="A1313" s="3"/>
      <c r="J1313" s="1"/>
    </row>
    <row r="1314" spans="1:10">
      <c r="A1314" s="3"/>
      <c r="J1314" s="1"/>
    </row>
    <row r="1315" spans="1:10">
      <c r="A1315" s="3"/>
      <c r="J1315" s="1"/>
    </row>
    <row r="1316" spans="1:10">
      <c r="A1316" s="3"/>
      <c r="J1316" s="1"/>
    </row>
    <row r="1317" spans="1:10">
      <c r="A1317" s="3"/>
      <c r="J1317" s="1"/>
    </row>
    <row r="1318" spans="1:10">
      <c r="A1318" s="3"/>
      <c r="J1318" s="1"/>
    </row>
    <row r="1319" spans="1:10">
      <c r="A1319" s="3"/>
      <c r="J1319" s="1"/>
    </row>
    <row r="1320" spans="1:10">
      <c r="A1320" s="3"/>
      <c r="J1320" s="1"/>
    </row>
    <row r="1321" spans="1:10">
      <c r="A1321" s="3"/>
      <c r="J1321" s="1"/>
    </row>
    <row r="1322" spans="1:10">
      <c r="A1322" s="3"/>
      <c r="J1322" s="1"/>
    </row>
    <row r="1323" spans="1:10">
      <c r="A1323" s="3"/>
      <c r="J1323" s="1"/>
    </row>
    <row r="1324" spans="1:10">
      <c r="A1324" s="3"/>
      <c r="J1324" s="1"/>
    </row>
    <row r="1325" spans="1:10">
      <c r="A1325" s="3"/>
      <c r="J1325" s="1"/>
    </row>
    <row r="1326" spans="1:10">
      <c r="A1326" s="3"/>
      <c r="J1326" s="1"/>
    </row>
    <row r="1327" spans="1:10">
      <c r="A1327" s="3"/>
      <c r="J1327" s="1"/>
    </row>
    <row r="1328" spans="1:10">
      <c r="A1328" s="3"/>
      <c r="J1328" s="1"/>
    </row>
    <row r="1329" spans="1:10">
      <c r="A1329" s="3"/>
      <c r="J1329" s="1"/>
    </row>
    <row r="1330" spans="1:10">
      <c r="A1330" s="3"/>
      <c r="J1330" s="1"/>
    </row>
    <row r="1331" spans="1:10">
      <c r="A1331" s="3"/>
      <c r="J1331" s="1"/>
    </row>
    <row r="1332" spans="1:10">
      <c r="A1332" s="3"/>
      <c r="J1332" s="1"/>
    </row>
    <row r="1333" spans="1:10">
      <c r="A1333" s="3"/>
      <c r="J1333" s="1"/>
    </row>
    <row r="1334" spans="1:10">
      <c r="A1334" s="3"/>
      <c r="J1334" s="1"/>
    </row>
    <row r="1335" spans="1:10">
      <c r="A1335" s="3"/>
      <c r="J1335" s="1"/>
    </row>
    <row r="1336" spans="1:10">
      <c r="A1336" s="3"/>
      <c r="J1336" s="1"/>
    </row>
    <row r="1337" spans="1:10">
      <c r="A1337" s="3"/>
      <c r="J1337" s="1"/>
    </row>
    <row r="1338" spans="1:10">
      <c r="A1338" s="3"/>
      <c r="J1338" s="1"/>
    </row>
    <row r="1339" spans="1:10">
      <c r="A1339" s="3"/>
      <c r="J1339" s="1"/>
    </row>
    <row r="1340" spans="1:10">
      <c r="A1340" s="3"/>
      <c r="J1340" s="1"/>
    </row>
    <row r="1341" spans="1:10">
      <c r="A1341" s="3"/>
      <c r="J1341" s="1"/>
    </row>
    <row r="1342" spans="1:10">
      <c r="A1342" s="3"/>
      <c r="J1342" s="1"/>
    </row>
    <row r="1343" spans="1:10">
      <c r="A1343" s="3"/>
      <c r="J1343" s="1"/>
    </row>
    <row r="1344" spans="1:10">
      <c r="A1344" s="3"/>
      <c r="J1344" s="1"/>
    </row>
    <row r="1345" spans="1:10">
      <c r="A1345" s="3"/>
      <c r="J1345" s="1"/>
    </row>
    <row r="1346" spans="1:10">
      <c r="A1346" s="3"/>
      <c r="J1346" s="1"/>
    </row>
    <row r="1347" spans="1:10">
      <c r="A1347" s="3"/>
      <c r="J1347" s="1"/>
    </row>
    <row r="1348" spans="1:10">
      <c r="A1348" s="3"/>
      <c r="J1348" s="1"/>
    </row>
    <row r="1349" spans="1:10">
      <c r="A1349" s="3"/>
      <c r="J1349" s="1"/>
    </row>
    <row r="1350" spans="1:10">
      <c r="A1350" s="3"/>
      <c r="J1350" s="1"/>
    </row>
    <row r="1351" spans="1:10">
      <c r="A1351" s="3"/>
      <c r="J1351" s="1"/>
    </row>
    <row r="1352" spans="1:10">
      <c r="A1352" s="3"/>
      <c r="J1352" s="1"/>
    </row>
    <row r="1353" spans="1:10">
      <c r="A1353" s="3"/>
      <c r="J1353" s="1"/>
    </row>
    <row r="1354" spans="1:10">
      <c r="A1354" s="3"/>
      <c r="J1354" s="1"/>
    </row>
    <row r="1355" spans="1:10">
      <c r="A1355" s="3"/>
      <c r="J1355" s="1"/>
    </row>
    <row r="1356" spans="1:10">
      <c r="A1356" s="3"/>
      <c r="J1356" s="1"/>
    </row>
    <row r="1357" spans="1:10">
      <c r="A1357" s="3"/>
      <c r="J1357" s="1"/>
    </row>
    <row r="1358" spans="1:10">
      <c r="A1358" s="3"/>
      <c r="J1358" s="1"/>
    </row>
    <row r="1359" spans="1:10">
      <c r="A1359" s="3"/>
      <c r="J1359" s="1"/>
    </row>
    <row r="1360" spans="1:10">
      <c r="A1360" s="3"/>
      <c r="J1360" s="1"/>
    </row>
    <row r="1361" spans="1:10">
      <c r="A1361" s="3"/>
      <c r="J1361" s="1"/>
    </row>
    <row r="1362" spans="1:10">
      <c r="A1362" s="3"/>
      <c r="J1362" s="1"/>
    </row>
    <row r="1363" spans="1:10">
      <c r="A1363" s="3"/>
      <c r="J1363" s="1"/>
    </row>
    <row r="1364" spans="1:10">
      <c r="A1364" s="3"/>
      <c r="J1364" s="1"/>
    </row>
    <row r="1365" spans="1:10">
      <c r="A1365" s="3"/>
      <c r="J1365" s="1"/>
    </row>
    <row r="1366" spans="1:10">
      <c r="A1366" s="3"/>
      <c r="J1366" s="1"/>
    </row>
    <row r="1367" spans="1:10">
      <c r="A1367" s="3"/>
      <c r="J1367" s="1"/>
    </row>
    <row r="1368" spans="1:10">
      <c r="A1368" s="3"/>
      <c r="J1368" s="1"/>
    </row>
    <row r="1369" spans="1:10">
      <c r="A1369" s="3"/>
      <c r="J1369" s="1"/>
    </row>
    <row r="1370" spans="1:10">
      <c r="A1370" s="3"/>
      <c r="J1370" s="1"/>
    </row>
    <row r="1371" spans="1:10">
      <c r="A1371" s="3"/>
      <c r="J1371" s="1"/>
    </row>
    <row r="1372" spans="1:10">
      <c r="A1372" s="3"/>
      <c r="J1372" s="1"/>
    </row>
    <row r="1373" spans="1:10">
      <c r="A1373" s="3"/>
      <c r="J1373" s="1"/>
    </row>
    <row r="1374" spans="1:10">
      <c r="A1374" s="3"/>
      <c r="J1374" s="1"/>
    </row>
    <row r="1375" spans="1:10">
      <c r="A1375" s="3"/>
      <c r="J1375" s="1"/>
    </row>
    <row r="1376" spans="1:10">
      <c r="A1376" s="3"/>
      <c r="J1376" s="1"/>
    </row>
    <row r="1377" spans="1:10">
      <c r="A1377" s="3"/>
      <c r="J1377" s="1"/>
    </row>
    <row r="1378" spans="1:10">
      <c r="A1378" s="3"/>
      <c r="J1378" s="1"/>
    </row>
    <row r="1379" spans="1:10">
      <c r="A1379" s="3"/>
      <c r="J1379" s="1"/>
    </row>
    <row r="1380" spans="1:10">
      <c r="A1380" s="3"/>
      <c r="J1380" s="1"/>
    </row>
    <row r="1381" spans="1:10">
      <c r="A1381" s="3"/>
      <c r="J1381" s="1"/>
    </row>
    <row r="1382" spans="1:10">
      <c r="A1382" s="3"/>
      <c r="J1382" s="1"/>
    </row>
    <row r="1383" spans="1:10">
      <c r="A1383" s="3"/>
      <c r="J1383" s="1"/>
    </row>
    <row r="1384" spans="1:10">
      <c r="A1384" s="3"/>
      <c r="J1384" s="1"/>
    </row>
    <row r="1385" spans="1:10">
      <c r="A1385" s="3"/>
      <c r="J1385" s="1"/>
    </row>
    <row r="1386" spans="1:10">
      <c r="A1386" s="3"/>
      <c r="J1386" s="1"/>
    </row>
    <row r="1387" spans="1:10">
      <c r="A1387" s="3"/>
      <c r="J1387" s="1"/>
    </row>
    <row r="1388" spans="1:10">
      <c r="A1388" s="3"/>
      <c r="J1388" s="1"/>
    </row>
    <row r="1389" spans="1:10">
      <c r="A1389" s="3"/>
      <c r="J1389" s="1"/>
    </row>
    <row r="1390" spans="1:10">
      <c r="A1390" s="3"/>
      <c r="J1390" s="1"/>
    </row>
    <row r="1391" spans="1:10">
      <c r="A1391" s="3"/>
      <c r="J1391" s="1"/>
    </row>
    <row r="1392" spans="1:10">
      <c r="A1392" s="3"/>
      <c r="J1392" s="1"/>
    </row>
    <row r="1393" spans="1:10">
      <c r="A1393" s="3"/>
      <c r="J1393" s="1"/>
    </row>
    <row r="1394" spans="1:10">
      <c r="A1394" s="3"/>
      <c r="J1394" s="1"/>
    </row>
    <row r="1395" spans="1:10">
      <c r="A1395" s="3"/>
      <c r="J1395" s="1"/>
    </row>
    <row r="1396" spans="1:10">
      <c r="A1396" s="3"/>
      <c r="J1396" s="1"/>
    </row>
    <row r="1397" spans="1:10">
      <c r="A1397" s="3"/>
      <c r="J1397" s="1"/>
    </row>
    <row r="1398" spans="1:10">
      <c r="A1398" s="3"/>
      <c r="J1398" s="1"/>
    </row>
    <row r="1399" spans="1:10">
      <c r="A1399" s="3"/>
      <c r="J1399" s="1"/>
    </row>
    <row r="1400" spans="1:10">
      <c r="A1400" s="3"/>
      <c r="J1400" s="1"/>
    </row>
    <row r="1401" spans="1:10">
      <c r="A1401" s="3"/>
      <c r="J1401" s="1"/>
    </row>
    <row r="1402" spans="1:10">
      <c r="A1402" s="3"/>
      <c r="J1402" s="1"/>
    </row>
    <row r="1403" spans="1:10">
      <c r="A1403" s="3"/>
      <c r="J1403" s="1"/>
    </row>
    <row r="1404" spans="1:10">
      <c r="A1404" s="3"/>
      <c r="J1404" s="1"/>
    </row>
    <row r="1405" spans="1:10">
      <c r="A1405" s="3"/>
      <c r="J1405" s="1"/>
    </row>
    <row r="1406" spans="1:10">
      <c r="A1406" s="3"/>
      <c r="J1406" s="1"/>
    </row>
    <row r="1407" spans="1:10">
      <c r="A1407" s="3"/>
      <c r="J1407" s="1"/>
    </row>
    <row r="1408" spans="1:10">
      <c r="A1408" s="3"/>
      <c r="J1408" s="1"/>
    </row>
    <row r="1409" spans="1:10">
      <c r="A1409" s="3"/>
      <c r="J1409" s="1"/>
    </row>
    <row r="1410" spans="1:10">
      <c r="A1410" s="3"/>
      <c r="J1410" s="1"/>
    </row>
    <row r="1411" spans="1:10">
      <c r="A1411" s="3"/>
      <c r="J1411" s="1"/>
    </row>
    <row r="1412" spans="1:10">
      <c r="A1412" s="3"/>
      <c r="J1412" s="1"/>
    </row>
    <row r="1413" spans="1:10">
      <c r="A1413" s="3"/>
      <c r="J1413" s="1"/>
    </row>
    <row r="1414" spans="1:10">
      <c r="A1414" s="3"/>
      <c r="J1414" s="1"/>
    </row>
    <row r="1415" spans="1:10">
      <c r="A1415" s="3"/>
      <c r="J1415" s="1"/>
    </row>
    <row r="1416" spans="1:10">
      <c r="A1416" s="3"/>
      <c r="J1416" s="1"/>
    </row>
    <row r="1417" spans="1:10">
      <c r="A1417" s="3"/>
      <c r="J1417" s="1"/>
    </row>
    <row r="1418" spans="1:10">
      <c r="A1418" s="3"/>
      <c r="J1418" s="1"/>
    </row>
    <row r="1419" spans="1:10">
      <c r="A1419" s="3"/>
      <c r="J1419" s="1"/>
    </row>
    <row r="1420" spans="1:10">
      <c r="A1420" s="3"/>
      <c r="J1420" s="1"/>
    </row>
    <row r="1421" spans="1:10">
      <c r="A1421" s="3"/>
      <c r="J1421" s="1"/>
    </row>
    <row r="1422" spans="1:10">
      <c r="A1422" s="3"/>
      <c r="J1422" s="1"/>
    </row>
    <row r="1423" spans="1:10">
      <c r="A1423" s="3"/>
      <c r="J1423" s="1"/>
    </row>
    <row r="1424" spans="1:10">
      <c r="A1424" s="3"/>
      <c r="J1424" s="1"/>
    </row>
    <row r="1425" spans="1:10">
      <c r="A1425" s="3"/>
      <c r="J1425" s="1"/>
    </row>
    <row r="1426" spans="1:10">
      <c r="A1426" s="3"/>
      <c r="J1426" s="1"/>
    </row>
    <row r="1427" spans="1:10">
      <c r="A1427" s="3"/>
      <c r="J1427" s="1"/>
    </row>
    <row r="1428" spans="1:10">
      <c r="A1428" s="3"/>
      <c r="J1428" s="1"/>
    </row>
    <row r="1429" spans="1:10">
      <c r="A1429" s="3"/>
      <c r="J1429" s="1"/>
    </row>
    <row r="1430" spans="1:10">
      <c r="A1430" s="3"/>
      <c r="J1430" s="1"/>
    </row>
    <row r="1431" spans="1:10">
      <c r="A1431" s="3"/>
      <c r="J1431" s="1"/>
    </row>
    <row r="1432" spans="1:10">
      <c r="A1432" s="3"/>
      <c r="J1432" s="1"/>
    </row>
    <row r="1433" spans="1:10">
      <c r="A1433" s="3"/>
      <c r="J1433" s="1"/>
    </row>
    <row r="1434" spans="1:10">
      <c r="A1434" s="3"/>
      <c r="J1434" s="1"/>
    </row>
    <row r="1435" spans="1:10">
      <c r="A1435" s="3"/>
      <c r="J1435" s="1"/>
    </row>
    <row r="1436" spans="1:10">
      <c r="A1436" s="3"/>
      <c r="J1436" s="1"/>
    </row>
    <row r="1437" spans="1:10">
      <c r="A1437" s="3"/>
      <c r="J1437" s="1"/>
    </row>
    <row r="1438" spans="1:10">
      <c r="A1438" s="3"/>
      <c r="J1438" s="1"/>
    </row>
    <row r="1439" spans="1:10">
      <c r="A1439" s="3"/>
      <c r="J1439" s="1"/>
    </row>
    <row r="1440" spans="1:10">
      <c r="A1440" s="3"/>
      <c r="J1440" s="1"/>
    </row>
    <row r="1441" spans="1:10">
      <c r="A1441" s="3"/>
      <c r="J1441" s="1"/>
    </row>
    <row r="1442" spans="1:10">
      <c r="A1442" s="3"/>
      <c r="J1442" s="1"/>
    </row>
    <row r="1443" spans="1:10">
      <c r="A1443" s="3"/>
      <c r="J1443" s="1"/>
    </row>
    <row r="1444" spans="1:10">
      <c r="A1444" s="3"/>
      <c r="J1444" s="1"/>
    </row>
    <row r="1445" spans="1:10">
      <c r="A1445" s="3"/>
      <c r="J1445" s="1"/>
    </row>
    <row r="1446" spans="1:10">
      <c r="A1446" s="3"/>
      <c r="J1446" s="1"/>
    </row>
    <row r="1447" spans="1:10">
      <c r="A1447" s="3"/>
      <c r="J1447" s="1"/>
    </row>
    <row r="1448" spans="1:10">
      <c r="A1448" s="3"/>
      <c r="J1448" s="1"/>
    </row>
    <row r="1449" spans="1:10">
      <c r="A1449" s="3"/>
      <c r="J1449" s="1"/>
    </row>
    <row r="1450" spans="1:10">
      <c r="A1450" s="3"/>
      <c r="J1450" s="1"/>
    </row>
    <row r="1451" spans="1:10">
      <c r="A1451" s="3"/>
      <c r="J1451" s="1"/>
    </row>
    <row r="1452" spans="1:10">
      <c r="A1452" s="3"/>
      <c r="J1452" s="1"/>
    </row>
    <row r="1453" spans="1:10">
      <c r="A1453" s="3"/>
      <c r="J1453" s="1"/>
    </row>
    <row r="1454" spans="1:10">
      <c r="A1454" s="3"/>
      <c r="J1454" s="1"/>
    </row>
    <row r="1455" spans="1:10">
      <c r="A1455" s="3"/>
      <c r="J1455" s="1"/>
    </row>
    <row r="1456" spans="1:10">
      <c r="A1456" s="3"/>
      <c r="J1456" s="1"/>
    </row>
    <row r="1457" spans="1:10">
      <c r="A1457" s="3"/>
      <c r="J1457" s="1"/>
    </row>
    <row r="1458" spans="1:10">
      <c r="A1458" s="3"/>
      <c r="J1458" s="1"/>
    </row>
    <row r="1459" spans="1:10">
      <c r="A1459" s="3"/>
      <c r="J1459" s="1"/>
    </row>
    <row r="1460" spans="1:10">
      <c r="A1460" s="3"/>
      <c r="J1460" s="1"/>
    </row>
    <row r="1461" spans="1:10">
      <c r="A1461" s="3"/>
      <c r="J1461" s="1"/>
    </row>
    <row r="1462" spans="1:10">
      <c r="A1462" s="3"/>
      <c r="J1462" s="1"/>
    </row>
    <row r="1463" spans="1:10">
      <c r="A1463" s="3"/>
      <c r="J1463" s="1"/>
    </row>
    <row r="1464" spans="1:10">
      <c r="A1464" s="3"/>
      <c r="J1464" s="1"/>
    </row>
    <row r="1465" spans="1:10">
      <c r="A1465" s="3"/>
      <c r="J1465" s="1"/>
    </row>
    <row r="1466" spans="1:10">
      <c r="A1466" s="3"/>
      <c r="J1466" s="1"/>
    </row>
    <row r="1467" spans="1:10">
      <c r="A1467" s="3"/>
      <c r="J1467" s="1"/>
    </row>
    <row r="1468" spans="1:10">
      <c r="A1468" s="3"/>
      <c r="J1468" s="1"/>
    </row>
    <row r="1469" spans="1:10">
      <c r="A1469" s="3"/>
      <c r="J1469" s="1"/>
    </row>
    <row r="1470" spans="1:10">
      <c r="A1470" s="3"/>
      <c r="J1470" s="1"/>
    </row>
    <row r="1471" spans="1:10">
      <c r="A1471" s="3"/>
      <c r="J1471" s="1"/>
    </row>
    <row r="1472" spans="1:10">
      <c r="A1472" s="3"/>
      <c r="J1472" s="1"/>
    </row>
    <row r="1473" spans="1:10">
      <c r="A1473" s="3"/>
      <c r="J1473" s="1"/>
    </row>
    <row r="1474" spans="1:10">
      <c r="A1474" s="3"/>
      <c r="J1474" s="1"/>
    </row>
    <row r="1475" spans="1:10">
      <c r="A1475" s="3"/>
      <c r="J1475" s="1"/>
    </row>
    <row r="1476" spans="1:10">
      <c r="A1476" s="3"/>
      <c r="J1476" s="1"/>
    </row>
    <row r="1477" spans="1:10">
      <c r="A1477" s="3"/>
      <c r="J1477" s="1"/>
    </row>
    <row r="1478" spans="1:10">
      <c r="A1478" s="3"/>
      <c r="J1478" s="1"/>
    </row>
    <row r="1479" spans="1:10">
      <c r="A1479" s="3"/>
      <c r="J1479" s="1"/>
    </row>
    <row r="1480" spans="1:10">
      <c r="A1480" s="3"/>
      <c r="J1480" s="1"/>
    </row>
    <row r="1481" spans="1:10">
      <c r="A1481" s="3"/>
      <c r="J1481" s="1"/>
    </row>
    <row r="1482" spans="1:10">
      <c r="A1482" s="3"/>
      <c r="J1482" s="1"/>
    </row>
    <row r="1483" spans="1:10">
      <c r="A1483" s="3"/>
      <c r="J1483" s="1"/>
    </row>
    <row r="1484" spans="1:10">
      <c r="A1484" s="3"/>
      <c r="J1484" s="1"/>
    </row>
    <row r="1485" spans="1:10">
      <c r="A1485" s="3"/>
      <c r="J1485" s="1"/>
    </row>
    <row r="1486" spans="1:10">
      <c r="A1486" s="3"/>
      <c r="J1486" s="1"/>
    </row>
    <row r="1487" spans="1:10">
      <c r="A1487" s="3"/>
      <c r="J1487" s="1"/>
    </row>
    <row r="1488" spans="1:10">
      <c r="A1488" s="3"/>
      <c r="J1488" s="1"/>
    </row>
    <row r="1489" spans="1:10">
      <c r="A1489" s="3"/>
      <c r="J1489" s="1"/>
    </row>
    <row r="1490" spans="1:10">
      <c r="A1490" s="3"/>
      <c r="J1490" s="1"/>
    </row>
    <row r="1491" spans="1:10">
      <c r="A1491" s="3"/>
      <c r="J1491" s="1"/>
    </row>
    <row r="1492" spans="1:10">
      <c r="A1492" s="3"/>
      <c r="J1492" s="1"/>
    </row>
    <row r="1493" spans="1:10">
      <c r="A1493" s="3"/>
      <c r="J1493" s="1"/>
    </row>
    <row r="1494" spans="1:10">
      <c r="A1494" s="3"/>
      <c r="J1494" s="1"/>
    </row>
    <row r="1495" spans="1:10">
      <c r="A1495" s="3"/>
      <c r="J1495" s="1"/>
    </row>
    <row r="1496" spans="1:10">
      <c r="A1496" s="3"/>
      <c r="J1496" s="1"/>
    </row>
    <row r="1497" spans="1:10">
      <c r="A1497" s="3"/>
      <c r="J1497" s="1"/>
    </row>
    <row r="1498" spans="1:10">
      <c r="A1498" s="3"/>
      <c r="J1498" s="1"/>
    </row>
    <row r="1499" spans="1:10">
      <c r="A1499" s="3"/>
      <c r="J1499" s="1"/>
    </row>
    <row r="1500" spans="1:10">
      <c r="A1500" s="3"/>
      <c r="J1500" s="1"/>
    </row>
    <row r="1501" spans="1:10">
      <c r="A1501" s="3"/>
      <c r="J1501" s="1"/>
    </row>
    <row r="1502" spans="1:10">
      <c r="A1502" s="3"/>
      <c r="J1502" s="1"/>
    </row>
    <row r="1503" spans="1:10">
      <c r="A1503" s="3"/>
      <c r="J1503" s="1"/>
    </row>
    <row r="1504" spans="1:10">
      <c r="A1504" s="3"/>
      <c r="J1504" s="1"/>
    </row>
    <row r="1505" spans="1:10">
      <c r="A1505" s="3"/>
      <c r="J1505" s="1"/>
    </row>
    <row r="1506" spans="1:10">
      <c r="A1506" s="3"/>
      <c r="J1506" s="1"/>
    </row>
    <row r="1507" spans="1:10">
      <c r="A1507" s="3"/>
      <c r="J1507" s="1"/>
    </row>
    <row r="1508" spans="1:10">
      <c r="A1508" s="3"/>
      <c r="J1508" s="1"/>
    </row>
    <row r="1509" spans="1:10">
      <c r="A1509" s="3"/>
      <c r="J1509" s="1"/>
    </row>
    <row r="1510" spans="1:10">
      <c r="A1510" s="3"/>
      <c r="J1510" s="1"/>
    </row>
    <row r="1511" spans="1:10">
      <c r="A1511" s="3"/>
      <c r="J1511" s="1"/>
    </row>
    <row r="1512" spans="1:10">
      <c r="A1512" s="3"/>
      <c r="J1512" s="1"/>
    </row>
    <row r="1513" spans="1:10">
      <c r="A1513" s="3"/>
      <c r="J1513" s="1"/>
    </row>
    <row r="1514" spans="1:10">
      <c r="A1514" s="3"/>
      <c r="J1514" s="1"/>
    </row>
    <row r="1515" spans="1:10">
      <c r="A1515" s="3"/>
      <c r="J1515" s="1"/>
    </row>
    <row r="1516" spans="1:10">
      <c r="A1516" s="3"/>
      <c r="J1516" s="1"/>
    </row>
    <row r="1517" spans="1:10">
      <c r="A1517" s="3"/>
      <c r="J1517" s="1"/>
    </row>
    <row r="1518" spans="1:10">
      <c r="A1518" s="3"/>
      <c r="J1518" s="1"/>
    </row>
    <row r="1519" spans="1:10">
      <c r="A1519" s="3"/>
      <c r="J1519" s="1"/>
    </row>
    <row r="1520" spans="1:10">
      <c r="A1520" s="3"/>
      <c r="J1520" s="1"/>
    </row>
    <row r="1521" spans="1:10">
      <c r="A1521" s="3"/>
      <c r="J1521" s="1"/>
    </row>
    <row r="1522" spans="1:10">
      <c r="A1522" s="3"/>
      <c r="J1522" s="1"/>
    </row>
    <row r="1523" spans="1:10">
      <c r="A1523" s="3"/>
      <c r="J1523" s="1"/>
    </row>
    <row r="1524" spans="1:10">
      <c r="A1524" s="3"/>
      <c r="J1524" s="1"/>
    </row>
    <row r="1525" spans="1:10">
      <c r="A1525" s="3"/>
      <c r="J1525" s="1"/>
    </row>
    <row r="1526" spans="1:10">
      <c r="A1526" s="3"/>
      <c r="J1526" s="1"/>
    </row>
    <row r="1527" spans="1:10">
      <c r="A1527" s="3"/>
      <c r="J1527" s="1"/>
    </row>
    <row r="1528" spans="1:10">
      <c r="A1528" s="3"/>
      <c r="J1528" s="1"/>
    </row>
    <row r="1529" spans="1:10">
      <c r="A1529" s="3"/>
      <c r="J1529" s="1"/>
    </row>
    <row r="1530" spans="1:10">
      <c r="A1530" s="3"/>
      <c r="J1530" s="1"/>
    </row>
    <row r="1531" spans="1:10">
      <c r="A1531" s="3"/>
      <c r="J1531" s="1"/>
    </row>
    <row r="1532" spans="1:10">
      <c r="A1532" s="3"/>
      <c r="J1532" s="1"/>
    </row>
    <row r="1533" spans="1:10">
      <c r="A1533" s="3"/>
      <c r="J1533" s="1"/>
    </row>
    <row r="1534" spans="1:10">
      <c r="A1534" s="3"/>
      <c r="J1534" s="1"/>
    </row>
    <row r="1535" spans="1:10">
      <c r="A1535" s="3"/>
      <c r="J1535" s="1"/>
    </row>
    <row r="1536" spans="1:10">
      <c r="A1536" s="3"/>
      <c r="J1536" s="1"/>
    </row>
    <row r="1537" spans="1:10">
      <c r="A1537" s="3"/>
      <c r="J1537" s="1"/>
    </row>
    <row r="1538" spans="1:10">
      <c r="A1538" s="3"/>
      <c r="J1538" s="1"/>
    </row>
    <row r="1539" spans="1:10">
      <c r="A1539" s="3"/>
      <c r="J1539" s="1"/>
    </row>
    <row r="1540" spans="1:10">
      <c r="A1540" s="3"/>
      <c r="J1540" s="1"/>
    </row>
    <row r="1541" spans="1:10">
      <c r="A1541" s="3"/>
      <c r="J1541" s="1"/>
    </row>
    <row r="1542" spans="1:10">
      <c r="A1542" s="3"/>
      <c r="J1542" s="1"/>
    </row>
    <row r="1543" spans="1:10">
      <c r="A1543" s="3"/>
      <c r="J1543" s="1"/>
    </row>
    <row r="1544" spans="1:10">
      <c r="A1544" s="3"/>
      <c r="J1544" s="1"/>
    </row>
    <row r="1545" spans="1:10">
      <c r="A1545" s="3"/>
      <c r="J1545" s="1"/>
    </row>
    <row r="1546" spans="1:10">
      <c r="A1546" s="3"/>
      <c r="J1546" s="1"/>
    </row>
    <row r="1547" spans="1:10">
      <c r="A1547" s="3"/>
      <c r="J1547" s="1"/>
    </row>
    <row r="1548" spans="1:10">
      <c r="A1548" s="3"/>
      <c r="J1548" s="1"/>
    </row>
    <row r="1549" spans="1:10">
      <c r="A1549" s="3"/>
      <c r="J1549" s="1"/>
    </row>
    <row r="1550" spans="1:10">
      <c r="A1550" s="3"/>
      <c r="J1550" s="1"/>
    </row>
    <row r="1551" spans="1:10">
      <c r="A1551" s="3"/>
      <c r="J1551" s="1"/>
    </row>
    <row r="1552" spans="1:10">
      <c r="A1552" s="3"/>
      <c r="J1552" s="1"/>
    </row>
    <row r="1553" spans="1:10">
      <c r="A1553" s="3"/>
      <c r="J1553" s="1"/>
    </row>
    <row r="1554" spans="1:10">
      <c r="A1554" s="3"/>
      <c r="J1554" s="1"/>
    </row>
    <row r="1555" spans="1:10">
      <c r="A1555" s="3"/>
      <c r="J1555" s="1"/>
    </row>
    <row r="1556" spans="1:10">
      <c r="A1556" s="3"/>
      <c r="J1556" s="1"/>
    </row>
    <row r="1557" spans="1:10">
      <c r="A1557" s="3"/>
      <c r="J1557" s="1"/>
    </row>
    <row r="1558" spans="1:10">
      <c r="A1558" s="3"/>
      <c r="J1558" s="1"/>
    </row>
    <row r="1559" spans="1:10">
      <c r="A1559" s="3"/>
      <c r="J1559" s="1"/>
    </row>
    <row r="1560" spans="1:10">
      <c r="A1560" s="3"/>
      <c r="J1560" s="1"/>
    </row>
    <row r="1561" spans="1:10">
      <c r="A1561" s="3"/>
      <c r="J1561" s="1"/>
    </row>
    <row r="1562" spans="1:10">
      <c r="A1562" s="3"/>
      <c r="J1562" s="1"/>
    </row>
    <row r="1563" spans="1:10">
      <c r="A1563" s="3"/>
      <c r="J1563" s="1"/>
    </row>
    <row r="1564" spans="1:10">
      <c r="A1564" s="3"/>
      <c r="J1564" s="1"/>
    </row>
    <row r="1565" spans="1:10">
      <c r="A1565" s="3"/>
      <c r="J1565" s="1"/>
    </row>
    <row r="1566" spans="1:10">
      <c r="A1566" s="3"/>
      <c r="J1566" s="1"/>
    </row>
    <row r="1567" spans="1:10">
      <c r="A1567" s="3"/>
      <c r="J1567" s="1"/>
    </row>
    <row r="1568" spans="1:10">
      <c r="A1568" s="3"/>
      <c r="J1568" s="1"/>
    </row>
    <row r="1569" spans="1:10">
      <c r="A1569" s="3"/>
      <c r="J1569" s="1"/>
    </row>
    <row r="1570" spans="1:10">
      <c r="A1570" s="3"/>
      <c r="J1570" s="1"/>
    </row>
    <row r="1571" spans="1:10">
      <c r="A1571" s="3"/>
      <c r="J1571" s="1"/>
    </row>
    <row r="1572" spans="1:10">
      <c r="A1572" s="3"/>
      <c r="J1572" s="1"/>
    </row>
    <row r="1573" spans="1:10">
      <c r="A1573" s="3"/>
      <c r="J1573" s="1"/>
    </row>
    <row r="1574" spans="1:10">
      <c r="A1574" s="3"/>
      <c r="J1574" s="1"/>
    </row>
    <row r="1575" spans="1:10">
      <c r="A1575" s="3"/>
      <c r="J1575" s="1"/>
    </row>
    <row r="1576" spans="1:10">
      <c r="A1576" s="3"/>
      <c r="J1576" s="1"/>
    </row>
    <row r="1577" spans="1:10">
      <c r="A1577" s="3"/>
      <c r="J1577" s="1"/>
    </row>
    <row r="1578" spans="1:10">
      <c r="A1578" s="3"/>
      <c r="J1578" s="1"/>
    </row>
    <row r="1579" spans="1:10">
      <c r="A1579" s="3"/>
      <c r="J1579" s="1"/>
    </row>
    <row r="1580" spans="1:10">
      <c r="A1580" s="3"/>
      <c r="J1580" s="1"/>
    </row>
    <row r="1581" spans="1:10">
      <c r="A1581" s="3"/>
      <c r="J1581" s="1"/>
    </row>
    <row r="1582" spans="1:10">
      <c r="A1582" s="3"/>
      <c r="J1582" s="1"/>
    </row>
    <row r="1583" spans="1:10">
      <c r="A1583" s="3"/>
      <c r="J1583" s="1"/>
    </row>
    <row r="1584" spans="1:10">
      <c r="A1584" s="3"/>
      <c r="J1584" s="1"/>
    </row>
    <row r="1585" spans="1:10">
      <c r="A1585" s="3"/>
      <c r="J1585" s="1"/>
    </row>
    <row r="1586" spans="1:10">
      <c r="A1586" s="3"/>
      <c r="J1586" s="1"/>
    </row>
    <row r="1587" spans="1:10">
      <c r="A1587" s="3"/>
      <c r="J1587" s="1"/>
    </row>
    <row r="1588" spans="1:10">
      <c r="A1588" s="3"/>
      <c r="J1588" s="1"/>
    </row>
    <row r="1589" spans="1:10">
      <c r="A1589" s="3"/>
      <c r="J1589" s="1"/>
    </row>
    <row r="1590" spans="1:10">
      <c r="A1590" s="3"/>
      <c r="J1590" s="1"/>
    </row>
    <row r="1591" spans="1:10">
      <c r="A1591" s="3"/>
      <c r="J1591" s="1"/>
    </row>
    <row r="1592" spans="1:10">
      <c r="A1592" s="3"/>
      <c r="J1592" s="1"/>
    </row>
    <row r="1593" spans="1:10">
      <c r="A1593" s="3"/>
      <c r="J1593" s="1"/>
    </row>
    <row r="1594" spans="1:10">
      <c r="A1594" s="3"/>
      <c r="J1594" s="1"/>
    </row>
    <row r="1595" spans="1:10">
      <c r="A1595" s="3"/>
      <c r="J1595" s="1"/>
    </row>
    <row r="1596" spans="1:10">
      <c r="A1596" s="3"/>
      <c r="J1596" s="1"/>
    </row>
    <row r="1597" spans="1:10">
      <c r="A1597" s="3"/>
      <c r="J1597" s="1"/>
    </row>
    <row r="1598" spans="1:10">
      <c r="A1598" s="3"/>
      <c r="J1598" s="1"/>
    </row>
    <row r="1599" spans="1:10">
      <c r="A1599" s="3"/>
      <c r="J1599" s="1"/>
    </row>
    <row r="1600" spans="1:10">
      <c r="A1600" s="3"/>
      <c r="J1600" s="1"/>
    </row>
    <row r="1601" spans="1:10">
      <c r="A1601" s="3"/>
      <c r="J1601" s="1"/>
    </row>
    <row r="1602" spans="1:10">
      <c r="A1602" s="3"/>
      <c r="J1602" s="1"/>
    </row>
    <row r="1603" spans="1:10">
      <c r="A1603" s="3"/>
      <c r="J1603" s="1"/>
    </row>
    <row r="1604" spans="1:10">
      <c r="A1604" s="3"/>
      <c r="J1604" s="1"/>
    </row>
    <row r="1605" spans="1:10">
      <c r="A1605" s="3"/>
      <c r="J1605" s="1"/>
    </row>
    <row r="1606" spans="1:10">
      <c r="A1606" s="3"/>
      <c r="J1606" s="1"/>
    </row>
    <row r="1607" spans="1:10">
      <c r="A1607" s="3"/>
      <c r="J1607" s="1"/>
    </row>
    <row r="1608" spans="1:10">
      <c r="A1608" s="3"/>
      <c r="J1608" s="1"/>
    </row>
    <row r="1609" spans="1:10">
      <c r="A1609" s="3"/>
      <c r="J1609" s="1"/>
    </row>
    <row r="1610" spans="1:10">
      <c r="A1610" s="3"/>
      <c r="J1610" s="1"/>
    </row>
    <row r="1611" spans="1:10">
      <c r="A1611" s="3"/>
      <c r="J1611" s="1"/>
    </row>
    <row r="1612" spans="1:10">
      <c r="A1612" s="3"/>
      <c r="J1612" s="1"/>
    </row>
    <row r="1613" spans="1:10">
      <c r="A1613" s="3"/>
      <c r="J1613" s="1"/>
    </row>
    <row r="1614" spans="1:10">
      <c r="A1614" s="3"/>
      <c r="J1614" s="1"/>
    </row>
    <row r="1615" spans="1:10">
      <c r="A1615" s="3"/>
      <c r="J1615" s="1"/>
    </row>
    <row r="1616" spans="1:10">
      <c r="A1616" s="3"/>
      <c r="J1616" s="1"/>
    </row>
    <row r="1617" spans="1:10">
      <c r="A1617" s="3"/>
      <c r="J1617" s="1"/>
    </row>
    <row r="1618" spans="1:10">
      <c r="A1618" s="3"/>
      <c r="J1618" s="1"/>
    </row>
    <row r="1619" spans="1:10">
      <c r="A1619" s="3"/>
      <c r="J1619" s="1"/>
    </row>
    <row r="1620" spans="1:10">
      <c r="A1620" s="3"/>
      <c r="J1620" s="1"/>
    </row>
    <row r="1621" spans="1:10">
      <c r="A1621" s="3"/>
      <c r="J1621" s="1"/>
    </row>
    <row r="1622" spans="1:10">
      <c r="A1622" s="3"/>
      <c r="J1622" s="1"/>
    </row>
    <row r="1623" spans="1:10">
      <c r="A1623" s="3"/>
      <c r="J1623" s="1"/>
    </row>
    <row r="1624" spans="1:10">
      <c r="A1624" s="3"/>
      <c r="J1624" s="1"/>
    </row>
    <row r="1625" spans="1:10">
      <c r="A1625" s="3"/>
      <c r="J1625" s="1"/>
    </row>
    <row r="1626" spans="1:10">
      <c r="A1626" s="3"/>
      <c r="J1626" s="1"/>
    </row>
    <row r="1627" spans="1:10">
      <c r="A1627" s="3"/>
      <c r="J1627" s="1"/>
    </row>
    <row r="1628" spans="1:10">
      <c r="A1628" s="3"/>
      <c r="J1628" s="1"/>
    </row>
    <row r="1629" spans="1:10">
      <c r="A1629" s="3"/>
      <c r="J1629" s="1"/>
    </row>
    <row r="1630" spans="1:10">
      <c r="A1630" s="3"/>
      <c r="J1630" s="1"/>
    </row>
    <row r="1631" spans="1:10">
      <c r="A1631" s="3"/>
      <c r="J1631" s="1"/>
    </row>
    <row r="1632" spans="1:10">
      <c r="A1632" s="3"/>
      <c r="J1632" s="1"/>
    </row>
    <row r="1633" spans="1:10">
      <c r="A1633" s="3"/>
      <c r="J1633" s="1"/>
    </row>
    <row r="1634" spans="1:10">
      <c r="A1634" s="3"/>
      <c r="J1634" s="1"/>
    </row>
    <row r="1635" spans="1:10">
      <c r="A1635" s="3"/>
      <c r="J1635" s="1"/>
    </row>
    <row r="1636" spans="1:10">
      <c r="A1636" s="3"/>
      <c r="J1636" s="1"/>
    </row>
    <row r="1637" spans="1:10">
      <c r="A1637" s="3"/>
      <c r="J1637" s="1"/>
    </row>
    <row r="1638" spans="1:10">
      <c r="A1638" s="3"/>
      <c r="J1638" s="1"/>
    </row>
    <row r="1639" spans="1:10">
      <c r="A1639" s="3"/>
      <c r="J1639" s="1"/>
    </row>
    <row r="1640" spans="1:10">
      <c r="A1640" s="3"/>
      <c r="J1640" s="1"/>
    </row>
    <row r="1641" spans="1:10">
      <c r="A1641" s="3"/>
      <c r="J1641" s="1"/>
    </row>
    <row r="1642" spans="1:10">
      <c r="A1642" s="3"/>
      <c r="J1642" s="1"/>
    </row>
    <row r="1643" spans="1:10">
      <c r="A1643" s="3"/>
      <c r="J1643" s="1"/>
    </row>
    <row r="1644" spans="1:10">
      <c r="A1644" s="3"/>
      <c r="J1644" s="1"/>
    </row>
    <row r="1645" spans="1:10">
      <c r="A1645" s="3"/>
      <c r="J1645" s="1"/>
    </row>
    <row r="1646" spans="1:10">
      <c r="A1646" s="3"/>
      <c r="J1646" s="1"/>
    </row>
    <row r="1647" spans="1:10">
      <c r="A1647" s="3"/>
      <c r="J1647" s="1"/>
    </row>
    <row r="1648" spans="1:10">
      <c r="A1648" s="3"/>
      <c r="J1648" s="1"/>
    </row>
    <row r="1649" spans="1:10">
      <c r="A1649" s="3"/>
      <c r="J1649" s="1"/>
    </row>
    <row r="1650" spans="1:10">
      <c r="A1650" s="3"/>
      <c r="J1650" s="1"/>
    </row>
    <row r="1651" spans="1:10">
      <c r="A1651" s="3"/>
      <c r="J1651" s="1"/>
    </row>
    <row r="1652" spans="1:10">
      <c r="A1652" s="3"/>
      <c r="J1652" s="1"/>
    </row>
    <row r="1653" spans="1:10">
      <c r="A1653" s="3"/>
      <c r="J1653" s="1"/>
    </row>
    <row r="1654" spans="1:10">
      <c r="A1654" s="3"/>
      <c r="J1654" s="1"/>
    </row>
    <row r="1655" spans="1:10">
      <c r="A1655" s="3"/>
      <c r="J1655" s="1"/>
    </row>
    <row r="1656" spans="1:10">
      <c r="A1656" s="3"/>
      <c r="J1656" s="1"/>
    </row>
    <row r="1657" spans="1:10">
      <c r="A1657" s="3"/>
      <c r="J1657" s="1"/>
    </row>
    <row r="1658" spans="1:10">
      <c r="A1658" s="3"/>
      <c r="J1658" s="1"/>
    </row>
    <row r="1659" spans="1:10">
      <c r="A1659" s="3"/>
      <c r="J1659" s="1"/>
    </row>
    <row r="1660" spans="1:10">
      <c r="A1660" s="3"/>
      <c r="J1660" s="1"/>
    </row>
    <row r="1661" spans="1:10">
      <c r="A1661" s="3"/>
      <c r="J1661" s="1"/>
    </row>
    <row r="1662" spans="1:10">
      <c r="A1662" s="3"/>
      <c r="J1662" s="1"/>
    </row>
    <row r="1663" spans="1:10">
      <c r="A1663" s="3"/>
      <c r="J1663" s="1"/>
    </row>
    <row r="1664" spans="1:10">
      <c r="A1664" s="3"/>
      <c r="J1664" s="1"/>
    </row>
    <row r="1665" spans="1:10">
      <c r="A1665" s="3"/>
      <c r="J1665" s="1"/>
    </row>
    <row r="1666" spans="1:10">
      <c r="A1666" s="3"/>
      <c r="J1666" s="1"/>
    </row>
    <row r="1667" spans="1:10">
      <c r="A1667" s="3"/>
      <c r="J1667" s="1"/>
    </row>
    <row r="1668" spans="1:10">
      <c r="A1668" s="3"/>
      <c r="J1668" s="1"/>
    </row>
    <row r="1669" spans="1:10">
      <c r="A1669" s="3"/>
      <c r="J1669" s="1"/>
    </row>
    <row r="1670" spans="1:10">
      <c r="A1670" s="3"/>
      <c r="J1670" s="1"/>
    </row>
    <row r="1671" spans="1:10">
      <c r="A1671" s="3"/>
      <c r="J1671" s="1"/>
    </row>
    <row r="1672" spans="1:10">
      <c r="A1672" s="3"/>
      <c r="J1672" s="1"/>
    </row>
    <row r="1673" spans="1:10">
      <c r="A1673" s="3"/>
      <c r="J1673" s="1"/>
    </row>
    <row r="1674" spans="1:10">
      <c r="A1674" s="3"/>
      <c r="J1674" s="1"/>
    </row>
    <row r="1675" spans="1:10">
      <c r="A1675" s="3"/>
      <c r="J1675" s="1"/>
    </row>
    <row r="1676" spans="1:10">
      <c r="A1676" s="3"/>
      <c r="J1676" s="1"/>
    </row>
    <row r="1677" spans="1:10">
      <c r="A1677" s="3"/>
      <c r="J1677" s="1"/>
    </row>
    <row r="1678" spans="1:10">
      <c r="A1678" s="3"/>
      <c r="J1678" s="1"/>
    </row>
    <row r="1679" spans="1:10">
      <c r="A1679" s="3"/>
      <c r="J1679" s="1"/>
    </row>
    <row r="1680" spans="1:10">
      <c r="A1680" s="3"/>
      <c r="J1680" s="1"/>
    </row>
    <row r="1681" spans="1:10">
      <c r="A1681" s="3"/>
      <c r="J1681" s="1"/>
    </row>
    <row r="1682" spans="1:10">
      <c r="A1682" s="3"/>
      <c r="J1682" s="1"/>
    </row>
    <row r="1683" spans="1:10">
      <c r="A1683" s="3"/>
      <c r="J1683" s="1"/>
    </row>
    <row r="1684" spans="1:10">
      <c r="A1684" s="3"/>
      <c r="J1684" s="1"/>
    </row>
    <row r="1685" spans="1:10">
      <c r="A1685" s="3"/>
      <c r="J1685" s="1"/>
    </row>
    <row r="1686" spans="1:10">
      <c r="A1686" s="3"/>
      <c r="J1686" s="1"/>
    </row>
    <row r="1687" spans="1:10">
      <c r="A1687" s="3"/>
      <c r="J1687" s="1"/>
    </row>
    <row r="1688" spans="1:10">
      <c r="A1688" s="3"/>
      <c r="J1688" s="1"/>
    </row>
    <row r="1689" spans="1:10">
      <c r="A1689" s="3"/>
      <c r="J1689" s="1"/>
    </row>
    <row r="1690" spans="1:10">
      <c r="A1690" s="3"/>
      <c r="J1690" s="1"/>
    </row>
    <row r="1691" spans="1:10">
      <c r="A1691" s="3"/>
      <c r="J1691" s="1"/>
    </row>
    <row r="1692" spans="1:10">
      <c r="A1692" s="3"/>
      <c r="J1692" s="1"/>
    </row>
    <row r="1693" spans="1:10">
      <c r="A1693" s="3"/>
      <c r="J1693" s="1"/>
    </row>
    <row r="1694" spans="1:10">
      <c r="A1694" s="3"/>
      <c r="J1694" s="1"/>
    </row>
    <row r="1695" spans="1:10">
      <c r="A1695" s="3"/>
      <c r="J1695" s="1"/>
    </row>
    <row r="1696" spans="1:10">
      <c r="A1696" s="3"/>
      <c r="J1696" s="1"/>
    </row>
    <row r="1697" spans="1:10">
      <c r="A1697" s="3"/>
      <c r="J1697" s="1"/>
    </row>
    <row r="1698" spans="1:10">
      <c r="A1698" s="3"/>
      <c r="J1698" s="1"/>
    </row>
    <row r="1699" spans="1:10">
      <c r="A1699" s="3"/>
      <c r="J1699" s="1"/>
    </row>
    <row r="1700" spans="1:10">
      <c r="A1700" s="3"/>
      <c r="J1700" s="1"/>
    </row>
    <row r="1701" spans="1:10">
      <c r="A1701" s="3"/>
      <c r="J1701" s="1"/>
    </row>
    <row r="1702" spans="1:10">
      <c r="A1702" s="3"/>
      <c r="J1702" s="1"/>
    </row>
    <row r="1703" spans="1:10">
      <c r="A1703" s="3"/>
      <c r="J1703" s="1"/>
    </row>
    <row r="1704" spans="1:10">
      <c r="A1704" s="3"/>
      <c r="J1704" s="1"/>
    </row>
    <row r="1705" spans="1:10">
      <c r="A1705" s="3"/>
      <c r="J1705" s="1"/>
    </row>
    <row r="1706" spans="1:10">
      <c r="A1706" s="3"/>
      <c r="J1706" s="1"/>
    </row>
    <row r="1707" spans="1:10">
      <c r="A1707" s="3"/>
      <c r="J1707" s="1"/>
    </row>
    <row r="1708" spans="1:10">
      <c r="A1708" s="3"/>
      <c r="J1708" s="1"/>
    </row>
    <row r="1709" spans="1:10">
      <c r="A1709" s="3"/>
      <c r="J1709" s="1"/>
    </row>
    <row r="1710" spans="1:10">
      <c r="A1710" s="3"/>
      <c r="J1710" s="1"/>
    </row>
    <row r="1711" spans="1:10">
      <c r="A1711" s="3"/>
      <c r="J1711" s="1"/>
    </row>
    <row r="1712" spans="1:10">
      <c r="A1712" s="3"/>
      <c r="J1712" s="1"/>
    </row>
    <row r="1713" spans="1:10">
      <c r="A1713" s="3"/>
      <c r="J1713" s="1"/>
    </row>
    <row r="1714" spans="1:10">
      <c r="A1714" s="3"/>
      <c r="J1714" s="1"/>
    </row>
    <row r="1715" spans="1:10">
      <c r="A1715" s="3"/>
      <c r="J1715" s="1"/>
    </row>
    <row r="1716" spans="1:10">
      <c r="A1716" s="3"/>
      <c r="J1716" s="1"/>
    </row>
    <row r="1717" spans="1:10">
      <c r="A1717" s="3"/>
      <c r="J1717" s="1"/>
    </row>
    <row r="1718" spans="1:10">
      <c r="A1718" s="3"/>
      <c r="J1718" s="1"/>
    </row>
    <row r="1719" spans="1:10">
      <c r="A1719" s="3"/>
      <c r="J1719" s="1"/>
    </row>
    <row r="1720" spans="1:10">
      <c r="A1720" s="3"/>
      <c r="J1720" s="1"/>
    </row>
    <row r="1721" spans="1:10">
      <c r="A1721" s="3"/>
      <c r="J1721" s="1"/>
    </row>
    <row r="1722" spans="1:10">
      <c r="A1722" s="3"/>
      <c r="J1722" s="1"/>
    </row>
    <row r="1723" spans="1:10">
      <c r="A1723" s="3"/>
      <c r="J1723" s="1"/>
    </row>
    <row r="1724" spans="1:10">
      <c r="A1724" s="3"/>
      <c r="J1724" s="1"/>
    </row>
    <row r="1725" spans="1:10">
      <c r="A1725" s="3"/>
      <c r="J1725" s="1"/>
    </row>
    <row r="1726" spans="1:10">
      <c r="A1726" s="3"/>
      <c r="J1726" s="1"/>
    </row>
    <row r="1727" spans="1:10">
      <c r="A1727" s="3"/>
      <c r="J1727" s="1"/>
    </row>
    <row r="1728" spans="1:10">
      <c r="A1728" s="3"/>
      <c r="J1728" s="1"/>
    </row>
    <row r="1729" spans="1:10">
      <c r="A1729" s="3"/>
      <c r="J1729" s="1"/>
    </row>
    <row r="1730" spans="1:10">
      <c r="A1730" s="3"/>
      <c r="J1730" s="1"/>
    </row>
    <row r="1731" spans="1:10">
      <c r="A1731" s="3"/>
      <c r="J1731" s="1"/>
    </row>
    <row r="1732" spans="1:10">
      <c r="A1732" s="3"/>
      <c r="J1732" s="1"/>
    </row>
    <row r="1733" spans="1:10">
      <c r="A1733" s="3"/>
      <c r="J1733" s="1"/>
    </row>
    <row r="1734" spans="1:10">
      <c r="A1734" s="3"/>
      <c r="J1734" s="1"/>
    </row>
    <row r="1735" spans="1:10">
      <c r="A1735" s="3"/>
      <c r="J1735" s="1"/>
    </row>
    <row r="1736" spans="1:10">
      <c r="A1736" s="3"/>
      <c r="J1736" s="1"/>
    </row>
    <row r="1737" spans="1:10">
      <c r="A1737" s="3"/>
      <c r="J1737" s="1"/>
    </row>
    <row r="1738" spans="1:10">
      <c r="A1738" s="3"/>
      <c r="J1738" s="1"/>
    </row>
    <row r="1739" spans="1:10">
      <c r="A1739" s="3"/>
      <c r="J1739" s="1"/>
    </row>
    <row r="1740" spans="1:10">
      <c r="A1740" s="3"/>
      <c r="J1740" s="1"/>
    </row>
    <row r="1741" spans="1:10">
      <c r="A1741" s="3"/>
      <c r="J1741" s="1"/>
    </row>
    <row r="1742" spans="1:10">
      <c r="A1742" s="3"/>
      <c r="J1742" s="1"/>
    </row>
    <row r="1743" spans="1:10">
      <c r="A1743" s="3"/>
      <c r="J1743" s="1"/>
    </row>
    <row r="1744" spans="1:10">
      <c r="A1744" s="3"/>
      <c r="J1744" s="1"/>
    </row>
    <row r="1745" spans="1:10">
      <c r="A1745" s="3"/>
      <c r="J1745" s="1"/>
    </row>
    <row r="1746" spans="1:10">
      <c r="A1746" s="3"/>
      <c r="J1746" s="1"/>
    </row>
    <row r="1747" spans="1:10">
      <c r="A1747" s="3"/>
      <c r="J1747" s="1"/>
    </row>
    <row r="1748" spans="1:10">
      <c r="A1748" s="3"/>
      <c r="J1748" s="1"/>
    </row>
    <row r="1749" spans="1:10">
      <c r="A1749" s="3"/>
      <c r="J1749" s="1"/>
    </row>
    <row r="1750" spans="1:10">
      <c r="A1750" s="3"/>
      <c r="J1750" s="1"/>
    </row>
    <row r="1751" spans="1:10">
      <c r="A1751" s="3"/>
      <c r="J1751" s="1"/>
    </row>
    <row r="1752" spans="1:10">
      <c r="A1752" s="3"/>
      <c r="J1752" s="1"/>
    </row>
    <row r="1753" spans="1:10">
      <c r="A1753" s="3"/>
      <c r="J1753" s="1"/>
    </row>
    <row r="1754" spans="1:10">
      <c r="A1754" s="3"/>
      <c r="J1754" s="1"/>
    </row>
    <row r="1755" spans="1:10">
      <c r="A1755" s="3"/>
      <c r="J1755" s="1"/>
    </row>
    <row r="1756" spans="1:10">
      <c r="A1756" s="3"/>
      <c r="J1756" s="1"/>
    </row>
    <row r="1757" spans="1:10">
      <c r="A1757" s="3"/>
      <c r="J1757" s="1"/>
    </row>
    <row r="1758" spans="1:10">
      <c r="A1758" s="3"/>
      <c r="J1758" s="1"/>
    </row>
    <row r="1759" spans="1:10">
      <c r="A1759" s="3"/>
      <c r="J1759" s="1"/>
    </row>
    <row r="1760" spans="1:10">
      <c r="A1760" s="3"/>
      <c r="J1760" s="1"/>
    </row>
    <row r="1761" spans="1:10">
      <c r="A1761" s="3"/>
      <c r="J1761" s="1"/>
    </row>
    <row r="1762" spans="1:10">
      <c r="A1762" s="3"/>
      <c r="J1762" s="1"/>
    </row>
    <row r="1763" spans="1:10">
      <c r="A1763" s="3"/>
      <c r="J1763" s="1"/>
    </row>
    <row r="1764" spans="1:10">
      <c r="A1764" s="3"/>
      <c r="J1764" s="1"/>
    </row>
    <row r="1765" spans="1:10">
      <c r="A1765" s="3"/>
      <c r="J1765" s="1"/>
    </row>
    <row r="1766" spans="1:10">
      <c r="A1766" s="3"/>
      <c r="J1766" s="1"/>
    </row>
    <row r="1767" spans="1:10">
      <c r="A1767" s="3"/>
      <c r="J1767" s="1"/>
    </row>
    <row r="1768" spans="1:10">
      <c r="A1768" s="3"/>
      <c r="J1768" s="1"/>
    </row>
    <row r="1769" spans="1:10">
      <c r="A1769" s="3"/>
      <c r="J1769" s="1"/>
    </row>
    <row r="1770" spans="1:10">
      <c r="A1770" s="3"/>
      <c r="J1770" s="1"/>
    </row>
    <row r="1771" spans="1:10">
      <c r="A1771" s="3"/>
      <c r="J1771" s="1"/>
    </row>
    <row r="1772" spans="1:10">
      <c r="A1772" s="3"/>
      <c r="J1772" s="1"/>
    </row>
    <row r="1773" spans="1:10">
      <c r="A1773" s="3"/>
      <c r="J1773" s="1"/>
    </row>
    <row r="1774" spans="1:10">
      <c r="A1774" s="3"/>
      <c r="J1774" s="1"/>
    </row>
    <row r="1775" spans="1:10">
      <c r="A1775" s="3"/>
      <c r="J1775" s="1"/>
    </row>
    <row r="1776" spans="1:10">
      <c r="A1776" s="3"/>
      <c r="J1776" s="1"/>
    </row>
    <row r="1777" spans="1:10">
      <c r="A1777" s="3"/>
      <c r="J1777" s="1"/>
    </row>
    <row r="1778" spans="1:10">
      <c r="A1778" s="3"/>
      <c r="J1778" s="1"/>
    </row>
    <row r="1779" spans="1:10">
      <c r="A1779" s="3"/>
      <c r="J1779" s="1"/>
    </row>
    <row r="1780" spans="1:10">
      <c r="A1780" s="3"/>
      <c r="J1780" s="1"/>
    </row>
    <row r="1781" spans="1:10">
      <c r="A1781" s="3"/>
      <c r="J1781" s="1"/>
    </row>
    <row r="1782" spans="1:10">
      <c r="A1782" s="3"/>
      <c r="J1782" s="1"/>
    </row>
    <row r="1783" spans="1:10">
      <c r="A1783" s="3"/>
      <c r="J1783" s="1"/>
    </row>
    <row r="1784" spans="1:10">
      <c r="A1784" s="3"/>
      <c r="J1784" s="1"/>
    </row>
    <row r="1785" spans="1:10">
      <c r="A1785" s="3"/>
      <c r="J1785" s="1"/>
    </row>
    <row r="1786" spans="1:10">
      <c r="A1786" s="3"/>
      <c r="J1786" s="1"/>
    </row>
    <row r="1787" spans="1:10">
      <c r="A1787" s="3"/>
      <c r="J1787" s="1"/>
    </row>
    <row r="1788" spans="1:10">
      <c r="A1788" s="3"/>
      <c r="J1788" s="1"/>
    </row>
    <row r="1789" spans="1:10">
      <c r="A1789" s="3"/>
      <c r="J1789" s="1"/>
    </row>
    <row r="1790" spans="1:10">
      <c r="A1790" s="3"/>
      <c r="J1790" s="1"/>
    </row>
    <row r="1791" spans="1:10">
      <c r="A1791" s="3"/>
      <c r="J1791" s="1"/>
    </row>
    <row r="1792" spans="1:10">
      <c r="A1792" s="3"/>
      <c r="J1792" s="1"/>
    </row>
    <row r="1793" spans="1:10">
      <c r="A1793" s="3"/>
      <c r="J1793" s="1"/>
    </row>
    <row r="1794" spans="1:10">
      <c r="A1794" s="3"/>
      <c r="J1794" s="1"/>
    </row>
    <row r="1795" spans="1:10">
      <c r="A1795" s="3"/>
      <c r="J1795" s="1"/>
    </row>
    <row r="1796" spans="1:10">
      <c r="A1796" s="3"/>
      <c r="J1796" s="1"/>
    </row>
    <row r="1797" spans="1:10">
      <c r="A1797" s="3"/>
      <c r="J1797" s="1"/>
    </row>
    <row r="1798" spans="1:10">
      <c r="A1798" s="3"/>
      <c r="J1798" s="1"/>
    </row>
    <row r="1799" spans="1:10">
      <c r="A1799" s="3"/>
      <c r="J1799" s="1"/>
    </row>
    <row r="1800" spans="1:10">
      <c r="A1800" s="3"/>
      <c r="J1800" s="1"/>
    </row>
    <row r="1801" spans="1:10">
      <c r="A1801" s="3"/>
      <c r="J1801" s="1"/>
    </row>
    <row r="1802" spans="1:10">
      <c r="A1802" s="3"/>
      <c r="J1802" s="1"/>
    </row>
    <row r="1803" spans="1:10">
      <c r="A1803" s="3"/>
      <c r="J1803" s="1"/>
    </row>
    <row r="1804" spans="1:10">
      <c r="A1804" s="3"/>
      <c r="J1804" s="1"/>
    </row>
    <row r="1805" spans="1:10">
      <c r="A1805" s="3"/>
      <c r="J1805" s="1"/>
    </row>
    <row r="1806" spans="1:10">
      <c r="A1806" s="3"/>
      <c r="J1806" s="1"/>
    </row>
    <row r="1807" spans="1:10">
      <c r="A1807" s="3"/>
      <c r="J1807" s="1"/>
    </row>
    <row r="1808" spans="1:10">
      <c r="A1808" s="3"/>
      <c r="J1808" s="1"/>
    </row>
    <row r="1809" spans="1:10">
      <c r="A1809" s="3"/>
      <c r="J1809" s="1"/>
    </row>
    <row r="1810" spans="1:10">
      <c r="A1810" s="3"/>
      <c r="J1810" s="1"/>
    </row>
    <row r="1811" spans="1:10">
      <c r="A1811" s="3"/>
      <c r="J1811" s="1"/>
    </row>
    <row r="1812" spans="1:10">
      <c r="A1812" s="3"/>
      <c r="J1812" s="1"/>
    </row>
    <row r="1813" spans="1:10">
      <c r="A1813" s="3"/>
      <c r="J1813" s="1"/>
    </row>
    <row r="1814" spans="1:10">
      <c r="A1814" s="3"/>
      <c r="J1814" s="1"/>
    </row>
    <row r="1815" spans="1:10">
      <c r="A1815" s="3"/>
      <c r="J1815" s="1"/>
    </row>
    <row r="1816" spans="1:10">
      <c r="A1816" s="3"/>
      <c r="J1816" s="1"/>
    </row>
    <row r="1817" spans="1:10">
      <c r="A1817" s="3"/>
      <c r="J1817" s="1"/>
    </row>
    <row r="1818" spans="1:10">
      <c r="A1818" s="3"/>
      <c r="J1818" s="1"/>
    </row>
    <row r="1819" spans="1:10">
      <c r="A1819" s="3"/>
      <c r="J1819" s="1"/>
    </row>
    <row r="1820" spans="1:10">
      <c r="A1820" s="3"/>
      <c r="J1820" s="1"/>
    </row>
    <row r="1821" spans="1:10">
      <c r="A1821" s="3"/>
      <c r="J1821" s="1"/>
    </row>
    <row r="1822" spans="1:10">
      <c r="A1822" s="3"/>
      <c r="J1822" s="1"/>
    </row>
    <row r="1823" spans="1:10">
      <c r="A1823" s="3"/>
      <c r="J1823" s="1"/>
    </row>
    <row r="1824" spans="1:10">
      <c r="A1824" s="3"/>
      <c r="J1824" s="1"/>
    </row>
    <row r="1825" spans="1:10">
      <c r="A1825" s="3"/>
      <c r="J1825" s="1"/>
    </row>
    <row r="1826" spans="1:10">
      <c r="A1826" s="3"/>
      <c r="J1826" s="1"/>
    </row>
    <row r="1827" spans="1:10">
      <c r="A1827" s="3"/>
      <c r="J1827" s="1"/>
    </row>
    <row r="1828" spans="1:10">
      <c r="A1828" s="3"/>
      <c r="J1828" s="1"/>
    </row>
    <row r="1829" spans="1:10">
      <c r="A1829" s="3"/>
      <c r="J1829" s="1"/>
    </row>
    <row r="1830" spans="1:10">
      <c r="A1830" s="3"/>
      <c r="J1830" s="1"/>
    </row>
    <row r="1831" spans="1:10">
      <c r="A1831" s="3"/>
      <c r="J1831" s="1"/>
    </row>
    <row r="1832" spans="1:10">
      <c r="A1832" s="3"/>
      <c r="J1832" s="1"/>
    </row>
    <row r="1833" spans="1:10">
      <c r="A1833" s="3"/>
      <c r="J1833" s="1"/>
    </row>
    <row r="1834" spans="1:10">
      <c r="A1834" s="3"/>
      <c r="J1834" s="1"/>
    </row>
    <row r="1835" spans="1:10">
      <c r="A1835" s="3"/>
      <c r="J1835" s="1"/>
    </row>
    <row r="1836" spans="1:10">
      <c r="A1836" s="3"/>
      <c r="J1836" s="1"/>
    </row>
    <row r="1837" spans="1:10">
      <c r="A1837" s="3"/>
      <c r="J1837" s="1"/>
    </row>
    <row r="1838" spans="1:10">
      <c r="A1838" s="3"/>
      <c r="J1838" s="1"/>
    </row>
    <row r="1839" spans="1:10">
      <c r="A1839" s="3"/>
      <c r="J1839" s="1"/>
    </row>
    <row r="1840" spans="1:10">
      <c r="A1840" s="3"/>
      <c r="J1840" s="1"/>
    </row>
    <row r="1841" spans="1:10">
      <c r="A1841" s="3"/>
      <c r="J1841" s="1"/>
    </row>
    <row r="1842" spans="1:10">
      <c r="A1842" s="3"/>
      <c r="J1842" s="1"/>
    </row>
    <row r="1843" spans="1:10">
      <c r="A1843" s="3"/>
      <c r="J1843" s="1"/>
    </row>
    <row r="1844" spans="1:10">
      <c r="A1844" s="3"/>
      <c r="J1844" s="1"/>
    </row>
    <row r="1845" spans="1:10">
      <c r="A1845" s="3"/>
      <c r="J1845" s="1"/>
    </row>
    <row r="1846" spans="1:10">
      <c r="A1846" s="3"/>
      <c r="J1846" s="1"/>
    </row>
    <row r="1847" spans="1:10">
      <c r="A1847" s="3"/>
      <c r="J1847" s="1"/>
    </row>
    <row r="1848" spans="1:10">
      <c r="A1848" s="3"/>
      <c r="J1848" s="1"/>
    </row>
    <row r="1849" spans="1:10">
      <c r="A1849" s="3"/>
      <c r="J1849" s="1"/>
    </row>
    <row r="1850" spans="1:10">
      <c r="A1850" s="3"/>
      <c r="J1850" s="1"/>
    </row>
    <row r="1851" spans="1:10">
      <c r="A1851" s="3"/>
      <c r="J1851" s="1"/>
    </row>
    <row r="1852" spans="1:10">
      <c r="A1852" s="3"/>
      <c r="J1852" s="1"/>
    </row>
    <row r="1853" spans="1:10">
      <c r="A1853" s="3"/>
      <c r="J1853" s="1"/>
    </row>
    <row r="1854" spans="1:10">
      <c r="A1854" s="3"/>
      <c r="J1854" s="1"/>
    </row>
    <row r="1855" spans="1:10">
      <c r="A1855" s="3"/>
      <c r="J1855" s="1"/>
    </row>
    <row r="1856" spans="1:10">
      <c r="A1856" s="3"/>
      <c r="J1856" s="1"/>
    </row>
    <row r="1857" spans="1:10">
      <c r="A1857" s="3"/>
      <c r="J1857" s="1"/>
    </row>
    <row r="1858" spans="1:10">
      <c r="A1858" s="3"/>
      <c r="J1858" s="1"/>
    </row>
    <row r="1859" spans="1:10">
      <c r="A1859" s="3"/>
      <c r="J1859" s="1"/>
    </row>
    <row r="1860" spans="1:10">
      <c r="A1860" s="3"/>
      <c r="J1860" s="1"/>
    </row>
    <row r="1861" spans="1:10">
      <c r="A1861" s="3"/>
      <c r="J1861" s="1"/>
    </row>
    <row r="1862" spans="1:10">
      <c r="A1862" s="3"/>
      <c r="J1862" s="1"/>
    </row>
    <row r="1863" spans="1:10">
      <c r="A1863" s="3"/>
      <c r="J1863" s="1"/>
    </row>
    <row r="1864" spans="1:10">
      <c r="A1864" s="3"/>
      <c r="J1864" s="1"/>
    </row>
    <row r="1865" spans="1:10">
      <c r="A1865" s="3"/>
      <c r="J1865" s="1"/>
    </row>
    <row r="1866" spans="1:10">
      <c r="A1866" s="3"/>
      <c r="J1866" s="1"/>
    </row>
    <row r="1867" spans="1:10">
      <c r="A1867" s="3"/>
      <c r="J1867" s="1"/>
    </row>
    <row r="1868" spans="1:10">
      <c r="A1868" s="3"/>
      <c r="J1868" s="1"/>
    </row>
    <row r="1869" spans="1:10">
      <c r="A1869" s="3"/>
      <c r="J1869" s="1"/>
    </row>
    <row r="1870" spans="1:10">
      <c r="A1870" s="3"/>
      <c r="J1870" s="1"/>
    </row>
    <row r="1871" spans="1:10">
      <c r="A1871" s="3"/>
      <c r="J1871" s="1"/>
    </row>
    <row r="1872" spans="1:10">
      <c r="A1872" s="3"/>
      <c r="J1872" s="1"/>
    </row>
    <row r="1873" spans="1:10">
      <c r="A1873" s="3"/>
      <c r="J1873" s="1"/>
    </row>
    <row r="1874" spans="1:10">
      <c r="A1874" s="3"/>
      <c r="J1874" s="1"/>
    </row>
    <row r="1875" spans="1:10">
      <c r="A1875" s="3"/>
      <c r="J1875" s="1"/>
    </row>
    <row r="1876" spans="1:10">
      <c r="A1876" s="3"/>
      <c r="J1876" s="1"/>
    </row>
    <row r="1877" spans="1:10">
      <c r="A1877" s="3"/>
      <c r="J1877" s="1"/>
    </row>
    <row r="1878" spans="1:10">
      <c r="A1878" s="3"/>
      <c r="J1878" s="1"/>
    </row>
    <row r="1879" spans="1:10">
      <c r="A1879" s="3"/>
      <c r="J1879" s="1"/>
    </row>
    <row r="1880" spans="1:10">
      <c r="A1880" s="3"/>
      <c r="J1880" s="1"/>
    </row>
    <row r="1881" spans="1:10">
      <c r="A1881" s="3"/>
      <c r="J1881" s="1"/>
    </row>
    <row r="1882" spans="1:10">
      <c r="A1882" s="3"/>
      <c r="J1882" s="1"/>
    </row>
    <row r="1883" spans="1:10">
      <c r="A1883" s="3"/>
      <c r="J1883" s="1"/>
    </row>
    <row r="1884" spans="1:10">
      <c r="A1884" s="3"/>
      <c r="J1884" s="1"/>
    </row>
    <row r="1885" spans="1:10">
      <c r="A1885" s="3"/>
      <c r="J1885" s="1"/>
    </row>
    <row r="1886" spans="1:10">
      <c r="A1886" s="3"/>
      <c r="J1886" s="1"/>
    </row>
    <row r="1887" spans="1:10">
      <c r="A1887" s="3"/>
      <c r="J1887" s="1"/>
    </row>
    <row r="1888" spans="1:10">
      <c r="A1888" s="3"/>
      <c r="J1888" s="1"/>
    </row>
    <row r="1889" spans="1:10">
      <c r="A1889" s="3"/>
      <c r="J1889" s="1"/>
    </row>
    <row r="1890" spans="1:10">
      <c r="A1890" s="3"/>
      <c r="J1890" s="1"/>
    </row>
    <row r="1891" spans="1:10">
      <c r="A1891" s="3"/>
      <c r="J1891" s="1"/>
    </row>
    <row r="1892" spans="1:10">
      <c r="A1892" s="3"/>
      <c r="J1892" s="1"/>
    </row>
    <row r="1893" spans="1:10">
      <c r="A1893" s="3"/>
      <c r="J1893" s="1"/>
    </row>
    <row r="1894" spans="1:10">
      <c r="A1894" s="3"/>
      <c r="J1894" s="1"/>
    </row>
    <row r="1895" spans="1:10">
      <c r="A1895" s="3"/>
      <c r="J1895" s="1"/>
    </row>
    <row r="1896" spans="1:10">
      <c r="A1896" s="3"/>
      <c r="J1896" s="1"/>
    </row>
    <row r="1897" spans="1:10">
      <c r="A1897" s="3"/>
      <c r="J1897" s="1"/>
    </row>
    <row r="1898" spans="1:10">
      <c r="A1898" s="3"/>
      <c r="J1898" s="1"/>
    </row>
    <row r="1899" spans="1:10">
      <c r="A1899" s="3"/>
      <c r="J1899" s="1"/>
    </row>
    <row r="1900" spans="1:10">
      <c r="A1900" s="3"/>
      <c r="J1900" s="1"/>
    </row>
    <row r="1901" spans="1:10">
      <c r="A1901" s="3"/>
      <c r="J1901" s="1"/>
    </row>
    <row r="1902" spans="1:10">
      <c r="A1902" s="3"/>
      <c r="J1902" s="1"/>
    </row>
    <row r="1903" spans="1:10">
      <c r="A1903" s="3"/>
      <c r="J1903" s="1"/>
    </row>
    <row r="1904" spans="1:10">
      <c r="A1904" s="3"/>
      <c r="J1904" s="1"/>
    </row>
    <row r="1905" spans="1:10">
      <c r="A1905" s="3"/>
      <c r="J1905" s="1"/>
    </row>
    <row r="1906" spans="1:10">
      <c r="A1906" s="3"/>
      <c r="J1906" s="1"/>
    </row>
    <row r="1907" spans="1:10">
      <c r="A1907" s="3"/>
      <c r="J1907" s="1"/>
    </row>
    <row r="1908" spans="1:10">
      <c r="A1908" s="3"/>
      <c r="J1908" s="1"/>
    </row>
    <row r="1909" spans="1:10">
      <c r="A1909" s="3"/>
      <c r="J1909" s="1"/>
    </row>
    <row r="1910" spans="1:10">
      <c r="A1910" s="3"/>
      <c r="J1910" s="1"/>
    </row>
    <row r="1911" spans="1:10">
      <c r="A1911" s="3"/>
      <c r="J1911" s="1"/>
    </row>
    <row r="1912" spans="1:10">
      <c r="A1912" s="3"/>
      <c r="J1912" s="1"/>
    </row>
    <row r="1913" spans="1:10">
      <c r="A1913" s="3"/>
      <c r="J1913" s="1"/>
    </row>
    <row r="1914" spans="1:10">
      <c r="A1914" s="3"/>
      <c r="J1914" s="1"/>
    </row>
    <row r="1915" spans="1:10">
      <c r="A1915" s="3"/>
      <c r="J1915" s="1"/>
    </row>
    <row r="1916" spans="1:10">
      <c r="A1916" s="3"/>
      <c r="J1916" s="1"/>
    </row>
    <row r="1917" spans="1:10">
      <c r="A1917" s="3"/>
      <c r="J1917" s="1"/>
    </row>
    <row r="1918" spans="1:10">
      <c r="A1918" s="3"/>
      <c r="J1918" s="1"/>
    </row>
    <row r="1919" spans="1:10">
      <c r="A1919" s="3"/>
      <c r="J1919" s="1"/>
    </row>
    <row r="1920" spans="1:10">
      <c r="A1920" s="3"/>
      <c r="J1920" s="1"/>
    </row>
    <row r="1921" spans="1:10">
      <c r="A1921" s="3"/>
      <c r="J1921" s="1"/>
    </row>
    <row r="1922" spans="1:10">
      <c r="A1922" s="3"/>
      <c r="J1922" s="1"/>
    </row>
    <row r="1923" spans="1:10">
      <c r="A1923" s="3"/>
      <c r="J1923" s="1"/>
    </row>
    <row r="1924" spans="1:10">
      <c r="A1924" s="3"/>
      <c r="J1924" s="1"/>
    </row>
    <row r="1925" spans="1:10">
      <c r="A1925" s="3"/>
      <c r="J1925" s="1"/>
    </row>
    <row r="1926" spans="1:10">
      <c r="A1926" s="3"/>
      <c r="J1926" s="1"/>
    </row>
    <row r="1927" spans="1:10">
      <c r="A1927" s="3"/>
      <c r="J1927" s="1"/>
    </row>
    <row r="1928" spans="1:10">
      <c r="A1928" s="3"/>
      <c r="J1928" s="1"/>
    </row>
    <row r="1929" spans="1:10">
      <c r="A1929" s="3"/>
      <c r="J1929" s="1"/>
    </row>
    <row r="1930" spans="1:10">
      <c r="A1930" s="3"/>
      <c r="J1930" s="1"/>
    </row>
    <row r="1931" spans="1:10">
      <c r="A1931" s="3"/>
      <c r="J1931" s="1"/>
    </row>
    <row r="1932" spans="1:10">
      <c r="A1932" s="3"/>
      <c r="J1932" s="1"/>
    </row>
    <row r="1933" spans="1:10">
      <c r="A1933" s="3"/>
      <c r="J1933" s="1"/>
    </row>
    <row r="1934" spans="1:10">
      <c r="A1934" s="3"/>
      <c r="J1934" s="1"/>
    </row>
    <row r="1935" spans="1:10">
      <c r="A1935" s="3"/>
      <c r="J1935" s="1"/>
    </row>
    <row r="1936" spans="1:10">
      <c r="A1936" s="3"/>
      <c r="J1936" s="1"/>
    </row>
    <row r="1937" spans="1:10">
      <c r="A1937" s="3"/>
      <c r="J1937" s="1"/>
    </row>
    <row r="1938" spans="1:10">
      <c r="A1938" s="3"/>
      <c r="J1938" s="1"/>
    </row>
    <row r="1939" spans="1:10">
      <c r="A1939" s="3"/>
      <c r="J1939" s="1"/>
    </row>
    <row r="1940" spans="1:10">
      <c r="A1940" s="3"/>
      <c r="J1940" s="1"/>
    </row>
    <row r="1941" spans="1:10">
      <c r="A1941" s="3"/>
      <c r="J1941" s="1"/>
    </row>
    <row r="1942" spans="1:10">
      <c r="A1942" s="3"/>
      <c r="J1942" s="1"/>
    </row>
    <row r="1943" spans="1:10">
      <c r="A1943" s="3"/>
      <c r="J1943" s="1"/>
    </row>
    <row r="1944" spans="1:10">
      <c r="A1944" s="3"/>
      <c r="J1944" s="1"/>
    </row>
    <row r="1945" spans="1:10">
      <c r="A1945" s="3"/>
      <c r="J1945" s="1"/>
    </row>
    <row r="1946" spans="1:10">
      <c r="A1946" s="3"/>
      <c r="J1946" s="1"/>
    </row>
    <row r="1947" spans="1:10">
      <c r="A1947" s="3"/>
      <c r="J1947" s="1"/>
    </row>
    <row r="1948" spans="1:10">
      <c r="A1948" s="3"/>
      <c r="J1948" s="1"/>
    </row>
    <row r="1949" spans="1:10">
      <c r="A1949" s="3"/>
      <c r="J1949" s="1"/>
    </row>
    <row r="1950" spans="1:10">
      <c r="A1950" s="3"/>
      <c r="J1950" s="1"/>
    </row>
    <row r="1951" spans="1:10">
      <c r="A1951" s="3"/>
      <c r="J1951" s="1"/>
    </row>
    <row r="1952" spans="1:10">
      <c r="A1952" s="3"/>
      <c r="J1952" s="1"/>
    </row>
    <row r="1953" spans="1:10">
      <c r="A1953" s="3"/>
      <c r="J1953" s="1"/>
    </row>
    <row r="1954" spans="1:10">
      <c r="A1954" s="3"/>
      <c r="J1954" s="1"/>
    </row>
    <row r="1955" spans="1:10">
      <c r="A1955" s="3"/>
      <c r="J1955" s="1"/>
    </row>
    <row r="1956" spans="1:10">
      <c r="A1956" s="3"/>
      <c r="J1956" s="1"/>
    </row>
    <row r="1957" spans="1:10">
      <c r="A1957" s="3"/>
      <c r="J1957" s="1"/>
    </row>
    <row r="1958" spans="1:10">
      <c r="A1958" s="3"/>
      <c r="J1958" s="1"/>
    </row>
    <row r="1959" spans="1:10">
      <c r="A1959" s="3"/>
      <c r="J1959" s="1"/>
    </row>
    <row r="1960" spans="1:10">
      <c r="A1960" s="3"/>
      <c r="J1960" s="1"/>
    </row>
    <row r="1961" spans="1:10">
      <c r="A1961" s="3"/>
      <c r="J1961" s="1"/>
    </row>
    <row r="1962" spans="1:10">
      <c r="A1962" s="3"/>
      <c r="J1962" s="1"/>
    </row>
    <row r="1963" spans="1:10">
      <c r="A1963" s="3"/>
      <c r="J1963" s="1"/>
    </row>
    <row r="1964" spans="1:10">
      <c r="A1964" s="3"/>
      <c r="J1964" s="1"/>
    </row>
    <row r="1965" spans="1:10">
      <c r="A1965" s="3"/>
      <c r="J1965" s="1"/>
    </row>
    <row r="1966" spans="1:10">
      <c r="A1966" s="3"/>
      <c r="J1966" s="1"/>
    </row>
    <row r="1967" spans="1:10">
      <c r="A1967" s="3"/>
      <c r="J1967" s="1"/>
    </row>
    <row r="1968" spans="1:10">
      <c r="A1968" s="3"/>
      <c r="J1968" s="1"/>
    </row>
    <row r="1969" spans="1:10">
      <c r="A1969" s="3"/>
      <c r="J1969" s="1"/>
    </row>
    <row r="1970" spans="1:10">
      <c r="A1970" s="3"/>
      <c r="J1970" s="1"/>
    </row>
    <row r="1971" spans="1:10">
      <c r="A1971" s="3"/>
      <c r="J1971" s="1"/>
    </row>
    <row r="1972" spans="1:10">
      <c r="A1972" s="3"/>
      <c r="J1972" s="1"/>
    </row>
    <row r="1973" spans="1:10">
      <c r="A1973" s="3"/>
      <c r="J1973" s="1"/>
    </row>
    <row r="1974" spans="1:10">
      <c r="A1974" s="3"/>
      <c r="J1974" s="1"/>
    </row>
    <row r="1975" spans="1:10">
      <c r="A1975" s="3"/>
      <c r="J1975" s="1"/>
    </row>
    <row r="1976" spans="1:10">
      <c r="A1976" s="3"/>
      <c r="J1976" s="1"/>
    </row>
    <row r="1977" spans="1:10">
      <c r="A1977" s="3"/>
      <c r="J1977" s="1"/>
    </row>
    <row r="1978" spans="1:10">
      <c r="A1978" s="3"/>
      <c r="J1978" s="1"/>
    </row>
    <row r="1979" spans="1:10">
      <c r="A1979" s="3"/>
      <c r="J1979" s="1"/>
    </row>
    <row r="1980" spans="1:10">
      <c r="A1980" s="3"/>
      <c r="J1980" s="1"/>
    </row>
    <row r="1981" spans="1:10">
      <c r="A1981" s="3"/>
      <c r="J1981" s="1"/>
    </row>
    <row r="1982" spans="1:10">
      <c r="A1982" s="3"/>
      <c r="J1982" s="1"/>
    </row>
    <row r="1983" spans="1:10">
      <c r="A1983" s="3"/>
      <c r="J1983" s="1"/>
    </row>
    <row r="1984" spans="1:10">
      <c r="A1984" s="3"/>
      <c r="J1984" s="1"/>
    </row>
    <row r="1985" spans="1:10">
      <c r="A1985" s="3"/>
      <c r="J1985" s="1"/>
    </row>
    <row r="1986" spans="1:10">
      <c r="A1986" s="3"/>
      <c r="J1986" s="1"/>
    </row>
    <row r="1987" spans="1:10">
      <c r="A1987" s="3"/>
      <c r="J1987" s="1"/>
    </row>
    <row r="1988" spans="1:10">
      <c r="A1988" s="3"/>
      <c r="J1988" s="1"/>
    </row>
    <row r="1989" spans="1:10">
      <c r="A1989" s="3"/>
      <c r="J1989" s="1"/>
    </row>
    <row r="1990" spans="1:10">
      <c r="A1990" s="3"/>
      <c r="J1990" s="1"/>
    </row>
    <row r="1991" spans="1:10">
      <c r="A1991" s="3"/>
      <c r="J1991" s="1"/>
    </row>
    <row r="1992" spans="1:10">
      <c r="A1992" s="3"/>
      <c r="J1992" s="1"/>
    </row>
    <row r="1993" spans="1:10">
      <c r="A1993" s="3"/>
      <c r="J1993" s="1"/>
    </row>
    <row r="1994" spans="1:10">
      <c r="A1994" s="3"/>
      <c r="J1994" s="1"/>
    </row>
    <row r="1995" spans="1:10">
      <c r="A1995" s="3"/>
      <c r="J1995" s="1"/>
    </row>
    <row r="1996" spans="1:10">
      <c r="A1996" s="3"/>
      <c r="J1996" s="1"/>
    </row>
    <row r="1997" spans="1:10">
      <c r="A1997" s="3"/>
      <c r="J1997" s="1"/>
    </row>
    <row r="1998" spans="1:10">
      <c r="A1998" s="3"/>
      <c r="J1998" s="1"/>
    </row>
    <row r="1999" spans="1:10">
      <c r="A1999" s="3"/>
      <c r="J1999" s="1"/>
    </row>
    <row r="2000" spans="1:10">
      <c r="A2000" s="3"/>
      <c r="J2000" s="1"/>
    </row>
    <row r="2001" spans="1:10">
      <c r="A2001" s="3"/>
      <c r="J2001" s="1"/>
    </row>
    <row r="2002" spans="1:10">
      <c r="A2002" s="3"/>
      <c r="J2002" s="1"/>
    </row>
    <row r="2003" spans="1:10">
      <c r="A2003" s="3"/>
      <c r="J2003" s="1"/>
    </row>
    <row r="2004" spans="1:10">
      <c r="A2004" s="3"/>
      <c r="J2004" s="1"/>
    </row>
    <row r="2005" spans="1:10">
      <c r="A2005" s="3"/>
      <c r="J2005" s="1"/>
    </row>
    <row r="2006" spans="1:10">
      <c r="A2006" s="3"/>
      <c r="J2006" s="1"/>
    </row>
    <row r="2007" spans="1:10">
      <c r="A2007" s="3"/>
      <c r="J2007" s="1"/>
    </row>
    <row r="2008" spans="1:10">
      <c r="A2008" s="3"/>
      <c r="J2008" s="1"/>
    </row>
    <row r="2009" spans="1:10">
      <c r="A2009" s="3"/>
      <c r="J2009" s="1"/>
    </row>
    <row r="2010" spans="1:10">
      <c r="A2010" s="3"/>
      <c r="J2010" s="1"/>
    </row>
    <row r="2011" spans="1:10">
      <c r="A2011" s="3"/>
      <c r="J2011" s="1"/>
    </row>
    <row r="2012" spans="1:10">
      <c r="A2012" s="3"/>
      <c r="J2012" s="1"/>
    </row>
    <row r="2013" spans="1:10">
      <c r="A2013" s="3"/>
      <c r="J2013" s="1"/>
    </row>
    <row r="2014" spans="1:10">
      <c r="A2014" s="3"/>
      <c r="J2014" s="1"/>
    </row>
    <row r="2015" spans="1:10">
      <c r="A2015" s="3"/>
      <c r="J2015" s="1"/>
    </row>
    <row r="2016" spans="1:10">
      <c r="A2016" s="3"/>
      <c r="J2016" s="1"/>
    </row>
    <row r="2017" spans="1:10">
      <c r="A2017" s="3"/>
      <c r="J2017" s="1"/>
    </row>
    <row r="2018" spans="1:10">
      <c r="A2018" s="3"/>
      <c r="J2018" s="1"/>
    </row>
    <row r="2019" spans="1:10">
      <c r="A2019" s="3"/>
      <c r="J2019" s="1"/>
    </row>
    <row r="2020" spans="1:10">
      <c r="A2020" s="3"/>
      <c r="J2020" s="1"/>
    </row>
    <row r="2021" spans="1:10">
      <c r="A2021" s="3"/>
      <c r="J2021" s="1"/>
    </row>
    <row r="2022" spans="1:10">
      <c r="A2022" s="3"/>
      <c r="J2022" s="1"/>
    </row>
    <row r="2023" spans="1:10">
      <c r="A2023" s="3"/>
      <c r="J2023" s="1"/>
    </row>
    <row r="2024" spans="1:10">
      <c r="A2024" s="3"/>
      <c r="J2024" s="1"/>
    </row>
    <row r="2025" spans="1:10">
      <c r="A2025" s="3"/>
      <c r="J2025" s="1"/>
    </row>
    <row r="2026" spans="1:10">
      <c r="A2026" s="3"/>
      <c r="J2026" s="1"/>
    </row>
    <row r="2027" spans="1:10">
      <c r="A2027" s="3"/>
      <c r="J2027" s="1"/>
    </row>
    <row r="2028" spans="1:10">
      <c r="A2028" s="3"/>
      <c r="J2028" s="1"/>
    </row>
    <row r="2029" spans="1:10">
      <c r="A2029" s="3"/>
      <c r="J2029" s="1"/>
    </row>
    <row r="2030" spans="1:10">
      <c r="A2030" s="3"/>
      <c r="J2030" s="1"/>
    </row>
    <row r="2031" spans="1:10">
      <c r="A2031" s="3"/>
      <c r="J2031" s="1"/>
    </row>
    <row r="2032" spans="1:10">
      <c r="A2032" s="3"/>
      <c r="J2032" s="1"/>
    </row>
    <row r="2033" spans="1:10">
      <c r="A2033" s="3"/>
      <c r="J2033" s="1"/>
    </row>
    <row r="2034" spans="1:10">
      <c r="A2034" s="3"/>
      <c r="J2034" s="1"/>
    </row>
    <row r="2035" spans="1:10">
      <c r="A2035" s="3"/>
      <c r="J2035" s="1"/>
    </row>
    <row r="2036" spans="1:10">
      <c r="A2036" s="3"/>
      <c r="J2036" s="1"/>
    </row>
    <row r="2037" spans="1:10">
      <c r="A2037" s="3"/>
      <c r="J2037" s="1"/>
    </row>
    <row r="2038" spans="1:10">
      <c r="A2038" s="3"/>
      <c r="J2038" s="1"/>
    </row>
    <row r="2039" spans="1:10">
      <c r="A2039" s="3"/>
      <c r="J2039" s="1"/>
    </row>
    <row r="2040" spans="1:10">
      <c r="A2040" s="3"/>
      <c r="J2040" s="1"/>
    </row>
    <row r="2041" spans="1:10">
      <c r="A2041" s="3"/>
      <c r="J2041" s="1"/>
    </row>
    <row r="2042" spans="1:10">
      <c r="A2042" s="3"/>
      <c r="J2042" s="1"/>
    </row>
    <row r="2043" spans="1:10">
      <c r="A2043" s="3"/>
      <c r="J2043" s="1"/>
    </row>
    <row r="2044" spans="1:10">
      <c r="A2044" s="3"/>
      <c r="J2044" s="1"/>
    </row>
    <row r="2045" spans="1:10">
      <c r="A2045" s="3"/>
      <c r="J2045" s="1"/>
    </row>
    <row r="2046" spans="1:10">
      <c r="A2046" s="3"/>
      <c r="J2046" s="1"/>
    </row>
    <row r="2047" spans="1:10">
      <c r="A2047" s="3"/>
      <c r="J2047" s="1"/>
    </row>
    <row r="2048" spans="1:10">
      <c r="A2048" s="3"/>
      <c r="J2048" s="1"/>
    </row>
    <row r="2049" spans="1:10">
      <c r="A2049" s="3"/>
      <c r="J2049" s="1"/>
    </row>
    <row r="2050" spans="1:10">
      <c r="A2050" s="3"/>
      <c r="J2050" s="1"/>
    </row>
    <row r="2051" spans="1:10">
      <c r="A2051" s="3"/>
      <c r="J2051" s="1"/>
    </row>
    <row r="2052" spans="1:10">
      <c r="A2052" s="3"/>
      <c r="J2052" s="1"/>
    </row>
    <row r="2053" spans="1:10">
      <c r="A2053" s="3"/>
      <c r="J2053" s="1"/>
    </row>
    <row r="2054" spans="1:10">
      <c r="A2054" s="3"/>
      <c r="J2054" s="1"/>
    </row>
    <row r="2055" spans="1:10">
      <c r="A2055" s="3"/>
      <c r="J2055" s="1"/>
    </row>
    <row r="2056" spans="1:10">
      <c r="A2056" s="3"/>
      <c r="J2056" s="1"/>
    </row>
    <row r="2057" spans="1:10">
      <c r="A2057" s="3"/>
      <c r="J2057" s="1"/>
    </row>
    <row r="2058" spans="1:10">
      <c r="A2058" s="3"/>
      <c r="J2058" s="1"/>
    </row>
    <row r="2059" spans="1:10">
      <c r="A2059" s="3"/>
      <c r="J2059" s="1"/>
    </row>
    <row r="2060" spans="1:10">
      <c r="A2060" s="3"/>
      <c r="J2060" s="1"/>
    </row>
    <row r="2061" spans="1:10">
      <c r="A2061" s="3"/>
      <c r="J2061" s="1"/>
    </row>
    <row r="2062" spans="1:10">
      <c r="A2062" s="3"/>
      <c r="J2062" s="1"/>
    </row>
    <row r="2063" spans="1:10">
      <c r="A2063" s="3"/>
      <c r="J2063" s="1"/>
    </row>
    <row r="2064" spans="1:10">
      <c r="A2064" s="3"/>
      <c r="J2064" s="1"/>
    </row>
    <row r="2065" spans="1:10">
      <c r="A2065" s="3"/>
      <c r="J2065" s="1"/>
    </row>
    <row r="2066" spans="1:10">
      <c r="A2066" s="3"/>
      <c r="J2066" s="1"/>
    </row>
    <row r="2067" spans="1:10">
      <c r="A2067" s="3"/>
      <c r="J2067" s="1"/>
    </row>
    <row r="2068" spans="1:10">
      <c r="A2068" s="3"/>
      <c r="J2068" s="1"/>
    </row>
    <row r="2069" spans="1:10">
      <c r="A2069" s="3"/>
      <c r="J2069" s="1"/>
    </row>
    <row r="2070" spans="1:10">
      <c r="A2070" s="3"/>
      <c r="J2070" s="1"/>
    </row>
    <row r="2071" spans="1:10">
      <c r="A2071" s="3"/>
      <c r="J2071" s="1"/>
    </row>
    <row r="2072" spans="1:10">
      <c r="A2072" s="3"/>
      <c r="J2072" s="1"/>
    </row>
    <row r="2073" spans="1:10">
      <c r="A2073" s="3"/>
      <c r="J2073" s="1"/>
    </row>
    <row r="2074" spans="1:10">
      <c r="A2074" s="3"/>
      <c r="J2074" s="1"/>
    </row>
    <row r="2075" spans="1:10">
      <c r="A2075" s="3"/>
      <c r="J2075" s="1"/>
    </row>
    <row r="2076" spans="1:10">
      <c r="A2076" s="3"/>
      <c r="J2076" s="1"/>
    </row>
    <row r="2077" spans="1:10">
      <c r="A2077" s="3"/>
      <c r="J2077" s="1"/>
    </row>
    <row r="2078" spans="1:10">
      <c r="A2078" s="3"/>
      <c r="J2078" s="1"/>
    </row>
    <row r="2079" spans="1:10">
      <c r="A2079" s="3"/>
      <c r="J2079" s="1"/>
    </row>
    <row r="2080" spans="1:10">
      <c r="A2080" s="3"/>
      <c r="J2080" s="1"/>
    </row>
    <row r="2081" spans="1:10">
      <c r="A2081" s="3"/>
      <c r="J2081" s="1"/>
    </row>
    <row r="2082" spans="1:10">
      <c r="A2082" s="3"/>
      <c r="J2082" s="1"/>
    </row>
    <row r="2083" spans="1:10">
      <c r="A2083" s="3"/>
      <c r="J2083" s="1"/>
    </row>
    <row r="2084" spans="1:10">
      <c r="A2084" s="3"/>
      <c r="J2084" s="1"/>
    </row>
    <row r="2085" spans="1:10">
      <c r="A2085" s="3"/>
      <c r="J2085" s="1"/>
    </row>
    <row r="2086" spans="1:10">
      <c r="A2086" s="3"/>
      <c r="J2086" s="1"/>
    </row>
    <row r="2087" spans="1:10">
      <c r="A2087" s="3"/>
      <c r="J2087" s="1"/>
    </row>
    <row r="2088" spans="1:10">
      <c r="A2088" s="3"/>
      <c r="J2088" s="1"/>
    </row>
    <row r="2089" spans="1:10">
      <c r="A2089" s="3"/>
      <c r="J2089" s="1"/>
    </row>
    <row r="2090" spans="1:10">
      <c r="A2090" s="3"/>
      <c r="J2090" s="1"/>
    </row>
    <row r="2091" spans="1:10">
      <c r="A2091" s="3"/>
      <c r="J2091" s="1"/>
    </row>
    <row r="2092" spans="1:10">
      <c r="A2092" s="3"/>
      <c r="J2092" s="1"/>
    </row>
    <row r="2093" spans="1:10">
      <c r="A2093" s="3"/>
      <c r="J2093" s="1"/>
    </row>
    <row r="2094" spans="1:10">
      <c r="A2094" s="3"/>
      <c r="J2094" s="1"/>
    </row>
    <row r="2095" spans="1:10">
      <c r="A2095" s="3"/>
      <c r="J2095" s="1"/>
    </row>
    <row r="2096" spans="1:10">
      <c r="A2096" s="3"/>
      <c r="J2096" s="1"/>
    </row>
    <row r="2097" spans="1:10">
      <c r="A2097" s="3"/>
      <c r="J2097" s="1"/>
    </row>
    <row r="2098" spans="1:10">
      <c r="A2098" s="3"/>
      <c r="J2098" s="1"/>
    </row>
    <row r="2099" spans="1:10">
      <c r="A2099" s="3"/>
      <c r="J2099" s="1"/>
    </row>
    <row r="2100" spans="1:10">
      <c r="A2100" s="3"/>
      <c r="J2100" s="1"/>
    </row>
    <row r="2101" spans="1:10">
      <c r="A2101" s="3"/>
      <c r="J2101" s="1"/>
    </row>
    <row r="2102" spans="1:10">
      <c r="A2102" s="3"/>
      <c r="J2102" s="1"/>
    </row>
    <row r="2103" spans="1:10">
      <c r="A2103" s="3"/>
      <c r="J2103" s="1"/>
    </row>
    <row r="2104" spans="1:10">
      <c r="A2104" s="3"/>
      <c r="J2104" s="1"/>
    </row>
    <row r="2105" spans="1:10">
      <c r="A2105" s="3"/>
      <c r="J2105" s="1"/>
    </row>
    <row r="2106" spans="1:10">
      <c r="A2106" s="3"/>
      <c r="J2106" s="1"/>
    </row>
    <row r="2107" spans="1:10">
      <c r="A2107" s="3"/>
      <c r="J2107" s="1"/>
    </row>
    <row r="2108" spans="1:10">
      <c r="A2108" s="3"/>
      <c r="J2108" s="1"/>
    </row>
    <row r="2109" spans="1:10">
      <c r="A2109" s="3"/>
      <c r="J2109" s="1"/>
    </row>
    <row r="2110" spans="1:10">
      <c r="A2110" s="3"/>
      <c r="J2110" s="1"/>
    </row>
    <row r="2111" spans="1:10">
      <c r="A2111" s="3"/>
      <c r="J2111" s="1"/>
    </row>
    <row r="2112" spans="1:10">
      <c r="A2112" s="3"/>
      <c r="J2112" s="1"/>
    </row>
    <row r="2113" spans="1:10">
      <c r="A2113" s="3"/>
      <c r="J2113" s="1"/>
    </row>
    <row r="2114" spans="1:10">
      <c r="A2114" s="3"/>
      <c r="J2114" s="1"/>
    </row>
    <row r="2115" spans="1:10">
      <c r="A2115" s="3"/>
      <c r="J2115" s="1"/>
    </row>
    <row r="2116" spans="1:10">
      <c r="A2116" s="3"/>
      <c r="J2116" s="1"/>
    </row>
    <row r="2117" spans="1:10">
      <c r="A2117" s="3"/>
      <c r="J2117" s="1"/>
    </row>
    <row r="2118" spans="1:10">
      <c r="A2118" s="3"/>
      <c r="J2118" s="1"/>
    </row>
    <row r="2119" spans="1:10">
      <c r="A2119" s="3"/>
      <c r="J2119" s="1"/>
    </row>
    <row r="2120" spans="1:10">
      <c r="A2120" s="3"/>
      <c r="J2120" s="1"/>
    </row>
    <row r="2121" spans="1:10">
      <c r="A2121" s="3"/>
      <c r="J2121" s="1"/>
    </row>
    <row r="2122" spans="1:10">
      <c r="A2122" s="3"/>
      <c r="J2122" s="1"/>
    </row>
    <row r="2123" spans="1:10">
      <c r="A2123" s="3"/>
      <c r="J2123" s="1"/>
    </row>
    <row r="2124" spans="1:10">
      <c r="A2124" s="3"/>
      <c r="J2124" s="1"/>
    </row>
    <row r="2125" spans="1:10">
      <c r="A2125" s="3"/>
      <c r="J2125" s="1"/>
    </row>
    <row r="2126" spans="1:10">
      <c r="A2126" s="3"/>
      <c r="J2126" s="1"/>
    </row>
    <row r="2127" spans="1:10">
      <c r="A2127" s="3"/>
      <c r="J2127" s="1"/>
    </row>
    <row r="2128" spans="1:10">
      <c r="A2128" s="3"/>
      <c r="J2128" s="1"/>
    </row>
    <row r="2129" spans="1:10">
      <c r="A2129" s="3"/>
      <c r="J2129" s="1"/>
    </row>
    <row r="2130" spans="1:10">
      <c r="A2130" s="3"/>
      <c r="J2130" s="1"/>
    </row>
    <row r="2131" spans="1:10">
      <c r="A2131" s="3"/>
      <c r="J2131" s="1"/>
    </row>
    <row r="2132" spans="1:10">
      <c r="A2132" s="3"/>
      <c r="J2132" s="1"/>
    </row>
    <row r="2133" spans="1:10">
      <c r="A2133" s="3"/>
      <c r="J2133" s="1"/>
    </row>
    <row r="2134" spans="1:10">
      <c r="A2134" s="3"/>
      <c r="J2134" s="1"/>
    </row>
    <row r="2135" spans="1:10">
      <c r="A2135" s="3"/>
      <c r="J2135" s="1"/>
    </row>
    <row r="2136" spans="1:10">
      <c r="A2136" s="3"/>
      <c r="J2136" s="1"/>
    </row>
    <row r="2137" spans="1:10">
      <c r="A2137" s="3"/>
      <c r="J2137" s="1"/>
    </row>
    <row r="2138" spans="1:10">
      <c r="A2138" s="3"/>
      <c r="J2138" s="1"/>
    </row>
    <row r="2139" spans="1:10">
      <c r="A2139" s="3"/>
      <c r="J2139" s="1"/>
    </row>
    <row r="2140" spans="1:10">
      <c r="A2140" s="3"/>
      <c r="J2140" s="1"/>
    </row>
    <row r="2141" spans="1:10">
      <c r="A2141" s="3"/>
      <c r="J2141" s="1"/>
    </row>
    <row r="2142" spans="1:10">
      <c r="A2142" s="3"/>
      <c r="J2142" s="1"/>
    </row>
    <row r="2143" spans="1:10">
      <c r="A2143" s="3"/>
      <c r="J2143" s="1"/>
    </row>
    <row r="2144" spans="1:10">
      <c r="A2144" s="3"/>
      <c r="J2144" s="1"/>
    </row>
    <row r="2145" spans="1:10">
      <c r="A2145" s="3"/>
      <c r="J2145" s="1"/>
    </row>
    <row r="2146" spans="1:10">
      <c r="A2146" s="3"/>
      <c r="J2146" s="1"/>
    </row>
    <row r="2147" spans="1:10">
      <c r="A2147" s="3"/>
      <c r="J2147" s="1"/>
    </row>
    <row r="2148" spans="1:10">
      <c r="A2148" s="3"/>
      <c r="J2148" s="1"/>
    </row>
    <row r="2149" spans="1:10">
      <c r="A2149" s="3"/>
      <c r="J2149" s="1"/>
    </row>
    <row r="2150" spans="1:10">
      <c r="A2150" s="3"/>
      <c r="J2150" s="1"/>
    </row>
    <row r="2151" spans="1:10">
      <c r="A2151" s="3"/>
      <c r="J2151" s="1"/>
    </row>
    <row r="2152" spans="1:10">
      <c r="A2152" s="3"/>
      <c r="J2152" s="1"/>
    </row>
    <row r="2153" spans="1:10">
      <c r="A2153" s="3"/>
      <c r="J2153" s="1"/>
    </row>
    <row r="2154" spans="1:10">
      <c r="A2154" s="3"/>
      <c r="J2154" s="1"/>
    </row>
    <row r="2155" spans="1:10">
      <c r="A2155" s="3"/>
      <c r="J2155" s="1"/>
    </row>
    <row r="2156" spans="1:10">
      <c r="A2156" s="3"/>
      <c r="J2156" s="1"/>
    </row>
    <row r="2157" spans="1:10">
      <c r="A2157" s="3"/>
      <c r="J2157" s="1"/>
    </row>
    <row r="2158" spans="1:10">
      <c r="A2158" s="3"/>
      <c r="J2158" s="1"/>
    </row>
    <row r="2159" spans="1:10">
      <c r="A2159" s="3"/>
      <c r="J2159" s="1"/>
    </row>
    <row r="2160" spans="1:10">
      <c r="A2160" s="3"/>
      <c r="J2160" s="1"/>
    </row>
    <row r="2161" spans="1:10">
      <c r="A2161" s="3"/>
      <c r="J2161" s="1"/>
    </row>
    <row r="2162" spans="1:10">
      <c r="A2162" s="3"/>
      <c r="J2162" s="1"/>
    </row>
    <row r="2163" spans="1:10">
      <c r="A2163" s="3"/>
      <c r="J2163" s="1"/>
    </row>
    <row r="2164" spans="1:10">
      <c r="A2164" s="3"/>
      <c r="J2164" s="1"/>
    </row>
    <row r="2165" spans="1:10">
      <c r="A2165" s="3"/>
      <c r="J2165" s="1"/>
    </row>
    <row r="2166" spans="1:10">
      <c r="A2166" s="3"/>
      <c r="J2166" s="1"/>
    </row>
    <row r="2167" spans="1:10">
      <c r="A2167" s="3"/>
      <c r="J2167" s="1"/>
    </row>
    <row r="2168" spans="1:10">
      <c r="A2168" s="3"/>
      <c r="J2168" s="1"/>
    </row>
    <row r="2169" spans="1:10">
      <c r="A2169" s="3"/>
      <c r="J2169" s="1"/>
    </row>
    <row r="2170" spans="1:10">
      <c r="A2170" s="3"/>
      <c r="J2170" s="1"/>
    </row>
    <row r="2171" spans="1:10">
      <c r="A2171" s="3"/>
      <c r="J2171" s="1"/>
    </row>
    <row r="2172" spans="1:10">
      <c r="A2172" s="3"/>
      <c r="J2172" s="1"/>
    </row>
    <row r="2173" spans="1:10">
      <c r="A2173" s="3"/>
      <c r="J2173" s="1"/>
    </row>
    <row r="2174" spans="1:10">
      <c r="A2174" s="3"/>
      <c r="J2174" s="1"/>
    </row>
    <row r="2175" spans="1:10">
      <c r="A2175" s="3"/>
      <c r="J2175" s="1"/>
    </row>
    <row r="2176" spans="1:10">
      <c r="A2176" s="3"/>
      <c r="J2176" s="1"/>
    </row>
    <row r="2177" spans="1:10">
      <c r="A2177" s="3"/>
      <c r="J2177" s="1"/>
    </row>
    <row r="2178" spans="1:10">
      <c r="A2178" s="3"/>
      <c r="J2178" s="1"/>
    </row>
    <row r="2179" spans="1:10">
      <c r="A2179" s="3"/>
      <c r="J2179" s="1"/>
    </row>
    <row r="2180" spans="1:10">
      <c r="A2180" s="3"/>
      <c r="J2180" s="1"/>
    </row>
    <row r="2181" spans="1:10">
      <c r="A2181" s="3"/>
      <c r="J2181" s="1"/>
    </row>
    <row r="2182" spans="1:10">
      <c r="A2182" s="3"/>
      <c r="J2182" s="1"/>
    </row>
    <row r="2183" spans="1:10">
      <c r="A2183" s="3"/>
      <c r="J2183" s="1"/>
    </row>
    <row r="2184" spans="1:10">
      <c r="A2184" s="3"/>
      <c r="J2184" s="1"/>
    </row>
    <row r="2185" spans="1:10">
      <c r="A2185" s="3"/>
      <c r="J2185" s="1"/>
    </row>
    <row r="2186" spans="1:10">
      <c r="A2186" s="3"/>
      <c r="J2186" s="1"/>
    </row>
    <row r="2187" spans="1:10">
      <c r="A2187" s="3"/>
      <c r="J2187" s="1"/>
    </row>
    <row r="2188" spans="1:10">
      <c r="A2188" s="3"/>
      <c r="J2188" s="1"/>
    </row>
    <row r="2189" spans="1:10">
      <c r="A2189" s="3"/>
      <c r="J2189" s="1"/>
    </row>
    <row r="2190" spans="1:10">
      <c r="A2190" s="3"/>
      <c r="J2190" s="1"/>
    </row>
    <row r="2191" spans="1:10">
      <c r="A2191" s="3"/>
      <c r="J2191" s="1"/>
    </row>
    <row r="2192" spans="1:10">
      <c r="A2192" s="3"/>
      <c r="J2192" s="1"/>
    </row>
    <row r="2193" spans="1:10">
      <c r="A2193" s="3"/>
      <c r="J2193" s="1"/>
    </row>
    <row r="2194" spans="1:10">
      <c r="A2194" s="3"/>
      <c r="J2194" s="1"/>
    </row>
    <row r="2195" spans="1:10">
      <c r="A2195" s="3"/>
      <c r="J2195" s="1"/>
    </row>
    <row r="2196" spans="1:10">
      <c r="A2196" s="3"/>
      <c r="J2196" s="1"/>
    </row>
    <row r="2197" spans="1:10">
      <c r="A2197" s="3"/>
      <c r="J2197" s="1"/>
    </row>
    <row r="2198" spans="1:10">
      <c r="A2198" s="3"/>
      <c r="J2198" s="1"/>
    </row>
    <row r="2199" spans="1:10">
      <c r="A2199" s="3"/>
      <c r="J2199" s="1"/>
    </row>
    <row r="2200" spans="1:10">
      <c r="A2200" s="3"/>
      <c r="J2200" s="1"/>
    </row>
    <row r="2201" spans="1:10">
      <c r="A2201" s="3"/>
      <c r="J2201" s="1"/>
    </row>
    <row r="2202" spans="1:10">
      <c r="A2202" s="3"/>
      <c r="J2202" s="1"/>
    </row>
    <row r="2203" spans="1:10">
      <c r="A2203" s="3"/>
      <c r="J2203" s="1"/>
    </row>
    <row r="2204" spans="1:10">
      <c r="A2204" s="3"/>
      <c r="J2204" s="1"/>
    </row>
    <row r="2205" spans="1:10">
      <c r="A2205" s="3"/>
      <c r="J2205" s="1"/>
    </row>
    <row r="2206" spans="1:10">
      <c r="A2206" s="3"/>
      <c r="J2206" s="1"/>
    </row>
    <row r="2207" spans="1:10">
      <c r="A2207" s="3"/>
      <c r="J2207" s="1"/>
    </row>
    <row r="2208" spans="1:10">
      <c r="A2208" s="3"/>
      <c r="J2208" s="1"/>
    </row>
    <row r="2209" spans="1:10">
      <c r="A2209" s="3"/>
      <c r="J2209" s="1"/>
    </row>
    <row r="2210" spans="1:10">
      <c r="A2210" s="3"/>
      <c r="J2210" s="1"/>
    </row>
    <row r="2211" spans="1:10">
      <c r="A2211" s="3"/>
      <c r="J2211" s="1"/>
    </row>
    <row r="2212" spans="1:10">
      <c r="A2212" s="3"/>
      <c r="J2212" s="1"/>
    </row>
    <row r="2213" spans="1:10">
      <c r="A2213" s="3"/>
      <c r="J2213" s="1"/>
    </row>
    <row r="2214" spans="1:10">
      <c r="A2214" s="3"/>
      <c r="J2214" s="1"/>
    </row>
    <row r="2215" spans="1:10">
      <c r="A2215" s="3"/>
      <c r="J2215" s="1"/>
    </row>
    <row r="2216" spans="1:10">
      <c r="A2216" s="3"/>
      <c r="J2216" s="1"/>
    </row>
    <row r="2217" spans="1:10">
      <c r="A2217" s="3"/>
      <c r="J2217" s="1"/>
    </row>
    <row r="2218" spans="1:10">
      <c r="A2218" s="3"/>
      <c r="J2218" s="1"/>
    </row>
    <row r="2219" spans="1:10">
      <c r="A2219" s="3"/>
      <c r="J2219" s="1"/>
    </row>
    <row r="2220" spans="1:10">
      <c r="A2220" s="3"/>
      <c r="J2220" s="1"/>
    </row>
    <row r="2221" spans="1:10">
      <c r="A2221" s="3"/>
      <c r="J2221" s="1"/>
    </row>
    <row r="2222" spans="1:10">
      <c r="A2222" s="3"/>
      <c r="J2222" s="1"/>
    </row>
    <row r="2223" spans="1:10">
      <c r="A2223" s="3"/>
      <c r="J2223" s="1"/>
    </row>
    <row r="2224" spans="1:10">
      <c r="A2224" s="3"/>
      <c r="J2224" s="1"/>
    </row>
    <row r="2225" spans="1:10">
      <c r="A2225" s="3"/>
      <c r="J2225" s="1"/>
    </row>
    <row r="2226" spans="1:10">
      <c r="A2226" s="3"/>
      <c r="J2226" s="1"/>
    </row>
    <row r="2227" spans="1:10">
      <c r="A2227" s="3"/>
      <c r="J2227" s="1"/>
    </row>
    <row r="2228" spans="1:10">
      <c r="A2228" s="3"/>
      <c r="J2228" s="1"/>
    </row>
    <row r="2229" spans="1:10">
      <c r="A2229" s="3"/>
      <c r="J2229" s="1"/>
    </row>
    <row r="2230" spans="1:10">
      <c r="A2230" s="3"/>
      <c r="J2230" s="1"/>
    </row>
    <row r="2231" spans="1:10">
      <c r="A2231" s="3"/>
      <c r="J2231" s="1"/>
    </row>
    <row r="2232" spans="1:10">
      <c r="A2232" s="3"/>
      <c r="J2232" s="1"/>
    </row>
    <row r="2233" spans="1:10">
      <c r="A2233" s="3"/>
      <c r="J2233" s="1"/>
    </row>
    <row r="2234" spans="1:10">
      <c r="A2234" s="3"/>
      <c r="J2234" s="1"/>
    </row>
    <row r="2235" spans="1:10">
      <c r="A2235" s="3"/>
      <c r="J2235" s="1"/>
    </row>
    <row r="2236" spans="1:10">
      <c r="A2236" s="3"/>
      <c r="J2236" s="1"/>
    </row>
    <row r="2237" spans="1:10">
      <c r="A2237" s="3"/>
      <c r="J2237" s="1"/>
    </row>
    <row r="2238" spans="1:10">
      <c r="A2238" s="3"/>
      <c r="J2238" s="1"/>
    </row>
    <row r="2239" spans="1:10">
      <c r="A2239" s="3"/>
      <c r="J2239" s="1"/>
    </row>
    <row r="2240" spans="1:10">
      <c r="A2240" s="3"/>
      <c r="J2240" s="1"/>
    </row>
    <row r="2241" spans="1:10">
      <c r="A2241" s="3"/>
      <c r="J2241" s="1"/>
    </row>
    <row r="2242" spans="1:10">
      <c r="A2242" s="3"/>
      <c r="J2242" s="1"/>
    </row>
    <row r="2243" spans="1:10">
      <c r="A2243" s="3"/>
      <c r="J2243" s="1"/>
    </row>
    <row r="2244" spans="1:10">
      <c r="A2244" s="3"/>
      <c r="J2244" s="1"/>
    </row>
    <row r="2245" spans="1:10">
      <c r="A2245" s="3"/>
      <c r="J2245" s="1"/>
    </row>
    <row r="2246" spans="1:10">
      <c r="A2246" s="3"/>
      <c r="J2246" s="1"/>
    </row>
    <row r="2247" spans="1:10">
      <c r="A2247" s="3"/>
      <c r="J2247" s="1"/>
    </row>
    <row r="2248" spans="1:10">
      <c r="A2248" s="3"/>
      <c r="J2248" s="1"/>
    </row>
    <row r="2249" spans="1:10">
      <c r="A2249" s="3"/>
      <c r="J2249" s="1"/>
    </row>
    <row r="2250" spans="1:10">
      <c r="A2250" s="3"/>
      <c r="J2250" s="1"/>
    </row>
    <row r="2251" spans="1:10">
      <c r="A2251" s="3"/>
      <c r="J2251" s="1"/>
    </row>
    <row r="2252" spans="1:10">
      <c r="A2252" s="3"/>
      <c r="J2252" s="1"/>
    </row>
    <row r="2253" spans="1:10">
      <c r="A2253" s="3"/>
      <c r="J2253" s="1"/>
    </row>
    <row r="2254" spans="1:10">
      <c r="A2254" s="3"/>
      <c r="J2254" s="1"/>
    </row>
    <row r="2255" spans="1:10">
      <c r="A2255" s="3"/>
      <c r="J2255" s="1"/>
    </row>
    <row r="2256" spans="1:10">
      <c r="A2256" s="3"/>
      <c r="J2256" s="1"/>
    </row>
    <row r="2257" spans="1:10">
      <c r="A2257" s="3"/>
      <c r="J2257" s="1"/>
    </row>
    <row r="2258" spans="1:10">
      <c r="A2258" s="3"/>
      <c r="J2258" s="1"/>
    </row>
    <row r="2259" spans="1:10">
      <c r="A2259" s="3"/>
      <c r="J2259" s="1"/>
    </row>
    <row r="2260" spans="1:10">
      <c r="A2260" s="3"/>
      <c r="J2260" s="1"/>
    </row>
    <row r="2261" spans="1:10">
      <c r="A2261" s="3"/>
      <c r="J2261" s="1"/>
    </row>
    <row r="2262" spans="1:10">
      <c r="A2262" s="3"/>
      <c r="J2262" s="1"/>
    </row>
    <row r="2263" spans="1:10">
      <c r="A2263" s="3"/>
      <c r="J2263" s="1"/>
    </row>
    <row r="2264" spans="1:10">
      <c r="A2264" s="3"/>
      <c r="J2264" s="1"/>
    </row>
    <row r="2265" spans="1:10">
      <c r="A2265" s="3"/>
      <c r="J2265" s="1"/>
    </row>
    <row r="2266" spans="1:10">
      <c r="A2266" s="3"/>
      <c r="J2266" s="1"/>
    </row>
    <row r="2267" spans="1:10">
      <c r="A2267" s="3"/>
      <c r="J2267" s="1"/>
    </row>
    <row r="2268" spans="1:10">
      <c r="A2268" s="3"/>
      <c r="J2268" s="1"/>
    </row>
    <row r="2269" spans="1:10">
      <c r="A2269" s="3"/>
      <c r="J2269" s="1"/>
    </row>
    <row r="2270" spans="1:10">
      <c r="A2270" s="3"/>
      <c r="J2270" s="1"/>
    </row>
    <row r="2271" spans="1:10">
      <c r="A2271" s="3"/>
      <c r="J2271" s="1"/>
    </row>
    <row r="2272" spans="1:10">
      <c r="A2272" s="3"/>
      <c r="J2272" s="1"/>
    </row>
    <row r="2273" spans="1:10">
      <c r="A2273" s="3"/>
      <c r="J2273" s="1"/>
    </row>
    <row r="2274" spans="1:10">
      <c r="A2274" s="3"/>
      <c r="J2274" s="1"/>
    </row>
    <row r="2275" spans="1:10">
      <c r="A2275" s="3"/>
      <c r="J2275" s="1"/>
    </row>
    <row r="2276" spans="1:10">
      <c r="A2276" s="3"/>
      <c r="J2276" s="1"/>
    </row>
    <row r="2277" spans="1:10">
      <c r="A2277" s="3"/>
      <c r="J2277" s="1"/>
    </row>
    <row r="2278" spans="1:10">
      <c r="A2278" s="3"/>
      <c r="J2278" s="1"/>
    </row>
    <row r="2279" spans="1:10">
      <c r="A2279" s="3"/>
      <c r="J2279" s="1"/>
    </row>
    <row r="2280" spans="1:10">
      <c r="A2280" s="3"/>
      <c r="J2280" s="1"/>
    </row>
    <row r="2281" spans="1:10">
      <c r="A2281" s="3"/>
      <c r="J2281" s="1"/>
    </row>
    <row r="2282" spans="1:10">
      <c r="A2282" s="3"/>
      <c r="J2282" s="1"/>
    </row>
    <row r="2283" spans="1:10">
      <c r="A2283" s="3"/>
      <c r="J2283" s="1"/>
    </row>
    <row r="2284" spans="1:10">
      <c r="A2284" s="3"/>
      <c r="J2284" s="1"/>
    </row>
    <row r="2285" spans="1:10">
      <c r="A2285" s="3"/>
      <c r="J2285" s="1"/>
    </row>
    <row r="2286" spans="1:10">
      <c r="A2286" s="3"/>
      <c r="J2286" s="1"/>
    </row>
    <row r="2287" spans="1:10">
      <c r="A2287" s="3"/>
      <c r="J2287" s="1"/>
    </row>
    <row r="2288" spans="1:10">
      <c r="A2288" s="3"/>
      <c r="J2288" s="1"/>
    </row>
    <row r="2289" spans="1:10">
      <c r="A2289" s="3"/>
      <c r="J2289" s="1"/>
    </row>
    <row r="2290" spans="1:10">
      <c r="A2290" s="3"/>
      <c r="J2290" s="1"/>
    </row>
    <row r="2291" spans="1:10">
      <c r="A2291" s="3"/>
      <c r="J2291" s="1"/>
    </row>
    <row r="2292" spans="1:10">
      <c r="A2292" s="3"/>
      <c r="J2292" s="1"/>
    </row>
    <row r="2293" spans="1:10">
      <c r="A2293" s="3"/>
      <c r="J2293" s="1"/>
    </row>
    <row r="2294" spans="1:10">
      <c r="A2294" s="3"/>
      <c r="J2294" s="1"/>
    </row>
    <row r="2295" spans="1:10">
      <c r="A2295" s="3"/>
      <c r="J2295" s="1"/>
    </row>
    <row r="2296" spans="1:10">
      <c r="A2296" s="3"/>
      <c r="J2296" s="1"/>
    </row>
    <row r="2297" spans="1:10">
      <c r="A2297" s="3"/>
      <c r="J2297" s="1"/>
    </row>
    <row r="2298" spans="1:10">
      <c r="A2298" s="3"/>
      <c r="J2298" s="1"/>
    </row>
    <row r="2299" spans="1:10">
      <c r="A2299" s="3"/>
      <c r="J2299" s="1"/>
    </row>
    <row r="2300" spans="1:10">
      <c r="A2300" s="3"/>
      <c r="J2300" s="1"/>
    </row>
    <row r="2301" spans="1:10">
      <c r="A2301" s="3"/>
      <c r="J2301" s="1"/>
    </row>
    <row r="2302" spans="1:10">
      <c r="A2302" s="3"/>
      <c r="J2302" s="1"/>
    </row>
    <row r="2303" spans="1:10">
      <c r="A2303" s="3"/>
      <c r="J2303" s="1"/>
    </row>
    <row r="2304" spans="1:10">
      <c r="A2304" s="3"/>
      <c r="J2304" s="1"/>
    </row>
    <row r="2305" spans="1:10">
      <c r="A2305" s="3"/>
      <c r="J2305" s="1"/>
    </row>
    <row r="2306" spans="1:10">
      <c r="A2306" s="3"/>
      <c r="J2306" s="1"/>
    </row>
    <row r="2307" spans="1:10">
      <c r="A2307" s="3"/>
      <c r="J2307" s="1"/>
    </row>
    <row r="2308" spans="1:10">
      <c r="A2308" s="3"/>
      <c r="J2308" s="1"/>
    </row>
    <row r="2309" spans="1:10">
      <c r="A2309" s="3"/>
      <c r="J2309" s="1"/>
    </row>
    <row r="2310" spans="1:10">
      <c r="A2310" s="3"/>
      <c r="J2310" s="1"/>
    </row>
    <row r="2311" spans="1:10">
      <c r="A2311" s="3"/>
      <c r="J2311" s="1"/>
    </row>
    <row r="2312" spans="1:10">
      <c r="A2312" s="3"/>
      <c r="J2312" s="1"/>
    </row>
    <row r="2313" spans="1:10">
      <c r="A2313" s="3"/>
      <c r="J2313" s="1"/>
    </row>
    <row r="2314" spans="1:10">
      <c r="A2314" s="3"/>
      <c r="J2314" s="1"/>
    </row>
    <row r="2315" spans="1:10">
      <c r="A2315" s="3"/>
      <c r="J2315" s="1"/>
    </row>
    <row r="2316" spans="1:10">
      <c r="A2316" s="3"/>
      <c r="J2316" s="1"/>
    </row>
    <row r="2317" spans="1:10">
      <c r="A2317" s="3"/>
      <c r="J2317" s="1"/>
    </row>
    <row r="2318" spans="1:10">
      <c r="A2318" s="3"/>
      <c r="J2318" s="1"/>
    </row>
    <row r="2319" spans="1:10">
      <c r="A2319" s="3"/>
      <c r="J2319" s="1"/>
    </row>
    <row r="2320" spans="1:10">
      <c r="A2320" s="3"/>
      <c r="J2320" s="1"/>
    </row>
    <row r="2321" spans="1:10">
      <c r="A2321" s="3"/>
      <c r="J2321" s="1"/>
    </row>
    <row r="2322" spans="1:10">
      <c r="A2322" s="3"/>
      <c r="J2322" s="1"/>
    </row>
    <row r="2323" spans="1:10">
      <c r="A2323" s="3"/>
      <c r="J2323" s="1"/>
    </row>
    <row r="2324" spans="1:10">
      <c r="A2324" s="3"/>
      <c r="J2324" s="1"/>
    </row>
    <row r="2325" spans="1:10">
      <c r="A2325" s="3"/>
      <c r="J2325" s="1"/>
    </row>
    <row r="2326" spans="1:10">
      <c r="A2326" s="3"/>
      <c r="J2326" s="1"/>
    </row>
    <row r="2327" spans="1:10">
      <c r="A2327" s="3"/>
      <c r="J2327" s="1"/>
    </row>
    <row r="2328" spans="1:10">
      <c r="A2328" s="3"/>
      <c r="J2328" s="1"/>
    </row>
    <row r="2329" spans="1:10">
      <c r="A2329" s="3"/>
      <c r="J2329" s="1"/>
    </row>
    <row r="2330" spans="1:10">
      <c r="A2330" s="3"/>
      <c r="J2330" s="1"/>
    </row>
    <row r="2331" spans="1:10">
      <c r="A2331" s="3"/>
      <c r="J2331" s="1"/>
    </row>
    <row r="2332" spans="1:10">
      <c r="A2332" s="3"/>
      <c r="J2332" s="1"/>
    </row>
    <row r="2333" spans="1:10">
      <c r="A2333" s="3"/>
      <c r="J2333" s="1"/>
    </row>
    <row r="2334" spans="1:10">
      <c r="A2334" s="3"/>
      <c r="J2334" s="1"/>
    </row>
    <row r="2335" spans="1:10">
      <c r="A2335" s="3"/>
      <c r="J2335" s="1"/>
    </row>
    <row r="2336" spans="1:10">
      <c r="A2336" s="3"/>
      <c r="J2336" s="1"/>
    </row>
    <row r="2337" spans="1:10">
      <c r="A2337" s="3"/>
      <c r="J2337" s="1"/>
    </row>
    <row r="2338" spans="1:10">
      <c r="A2338" s="3"/>
      <c r="J2338" s="1"/>
    </row>
    <row r="2339" spans="1:10">
      <c r="A2339" s="3"/>
      <c r="J2339" s="1"/>
    </row>
    <row r="2340" spans="1:10">
      <c r="A2340" s="3"/>
      <c r="J2340" s="1"/>
    </row>
    <row r="2341" spans="1:10">
      <c r="A2341" s="3"/>
      <c r="J2341" s="1"/>
    </row>
    <row r="2342" spans="1:10">
      <c r="A2342" s="3"/>
      <c r="J2342" s="1"/>
    </row>
    <row r="2343" spans="1:10">
      <c r="A2343" s="3"/>
      <c r="J2343" s="1"/>
    </row>
    <row r="2344" spans="1:10">
      <c r="A2344" s="3"/>
      <c r="J2344" s="1"/>
    </row>
    <row r="2345" spans="1:10">
      <c r="A2345" s="3"/>
      <c r="J2345" s="1"/>
    </row>
    <row r="2346" spans="1:10">
      <c r="A2346" s="3"/>
      <c r="J2346" s="1"/>
    </row>
    <row r="2347" spans="1:10">
      <c r="A2347" s="3"/>
      <c r="J2347" s="1"/>
    </row>
    <row r="2348" spans="1:10">
      <c r="A2348" s="3"/>
      <c r="J2348" s="1"/>
    </row>
    <row r="2349" spans="1:10">
      <c r="A2349" s="3"/>
      <c r="J2349" s="1"/>
    </row>
    <row r="2350" spans="1:10">
      <c r="A2350" s="3"/>
      <c r="J2350" s="1"/>
    </row>
    <row r="2351" spans="1:10">
      <c r="A2351" s="3"/>
      <c r="J2351" s="1"/>
    </row>
    <row r="2352" spans="1:10">
      <c r="A2352" s="3"/>
      <c r="J2352" s="1"/>
    </row>
    <row r="2353" spans="1:10">
      <c r="A2353" s="3"/>
      <c r="J2353" s="1"/>
    </row>
    <row r="2354" spans="1:10">
      <c r="A2354" s="3"/>
      <c r="J2354" s="1"/>
    </row>
    <row r="2355" spans="1:10">
      <c r="A2355" s="3"/>
      <c r="J2355" s="1"/>
    </row>
    <row r="2356" spans="1:10">
      <c r="A2356" s="3"/>
      <c r="J2356" s="1"/>
    </row>
    <row r="2357" spans="1:10">
      <c r="A2357" s="3"/>
      <c r="J2357" s="1"/>
    </row>
    <row r="2358" spans="1:10">
      <c r="A2358" s="3"/>
      <c r="J2358" s="1"/>
    </row>
    <row r="2359" spans="1:10">
      <c r="A2359" s="3"/>
      <c r="J2359" s="1"/>
    </row>
    <row r="2360" spans="1:10">
      <c r="A2360" s="3"/>
      <c r="J2360" s="1"/>
    </row>
    <row r="2361" spans="1:10">
      <c r="A2361" s="3"/>
      <c r="J2361" s="1"/>
    </row>
    <row r="2362" spans="1:10">
      <c r="A2362" s="3"/>
      <c r="J2362" s="1"/>
    </row>
    <row r="2363" spans="1:10">
      <c r="A2363" s="3"/>
      <c r="J2363" s="1"/>
    </row>
    <row r="2364" spans="1:10">
      <c r="A2364" s="3"/>
      <c r="J2364" s="1"/>
    </row>
    <row r="2365" spans="1:10">
      <c r="A2365" s="3"/>
      <c r="J2365" s="1"/>
    </row>
    <row r="2366" spans="1:10">
      <c r="A2366" s="3"/>
      <c r="J2366" s="1"/>
    </row>
    <row r="2367" spans="1:10">
      <c r="A2367" s="3"/>
      <c r="J2367" s="1"/>
    </row>
    <row r="2368" spans="1:10">
      <c r="A2368" s="3"/>
      <c r="J2368" s="1"/>
    </row>
    <row r="2369" spans="1:10">
      <c r="A2369" s="3"/>
      <c r="J2369" s="1"/>
    </row>
    <row r="2370" spans="1:10">
      <c r="A2370" s="3"/>
      <c r="J2370" s="1"/>
    </row>
    <row r="2371" spans="1:10">
      <c r="A2371" s="3"/>
      <c r="J2371" s="1"/>
    </row>
    <row r="2372" spans="1:10">
      <c r="A2372" s="3"/>
      <c r="J2372" s="1"/>
    </row>
    <row r="2373" spans="1:10">
      <c r="A2373" s="3"/>
      <c r="J2373" s="1"/>
    </row>
    <row r="2374" spans="1:10">
      <c r="A2374" s="3"/>
      <c r="J2374" s="1"/>
    </row>
    <row r="2375" spans="1:10">
      <c r="A2375" s="3"/>
      <c r="J2375" s="1"/>
    </row>
    <row r="2376" spans="1:10">
      <c r="A2376" s="3"/>
      <c r="J2376" s="1"/>
    </row>
    <row r="2377" spans="1:10">
      <c r="A2377" s="3"/>
      <c r="J2377" s="1"/>
    </row>
    <row r="2378" spans="1:10">
      <c r="A2378" s="3"/>
      <c r="J2378" s="1"/>
    </row>
    <row r="2379" spans="1:10">
      <c r="A2379" s="3"/>
      <c r="J2379" s="1"/>
    </row>
    <row r="2380" spans="1:10">
      <c r="A2380" s="3"/>
      <c r="J2380" s="1"/>
    </row>
    <row r="2381" spans="1:10">
      <c r="A2381" s="3"/>
      <c r="J2381" s="1"/>
    </row>
    <row r="2382" spans="1:10">
      <c r="A2382" s="3"/>
      <c r="J2382" s="1"/>
    </row>
    <row r="2383" spans="1:10">
      <c r="A2383" s="3"/>
      <c r="J2383" s="1"/>
    </row>
    <row r="2384" spans="1:10">
      <c r="A2384" s="3"/>
      <c r="J2384" s="1"/>
    </row>
    <row r="2385" spans="1:10">
      <c r="A2385" s="3"/>
      <c r="J2385" s="1"/>
    </row>
    <row r="2386" spans="1:10">
      <c r="A2386" s="3"/>
      <c r="J2386" s="1"/>
    </row>
    <row r="2387" spans="1:10">
      <c r="A2387" s="3"/>
      <c r="J2387" s="1"/>
    </row>
    <row r="2388" spans="1:10">
      <c r="A2388" s="3"/>
      <c r="J2388" s="1"/>
    </row>
    <row r="2389" spans="1:10">
      <c r="A2389" s="3"/>
      <c r="J2389" s="1"/>
    </row>
    <row r="2390" spans="1:10">
      <c r="A2390" s="3"/>
      <c r="J2390" s="1"/>
    </row>
    <row r="2391" spans="1:10">
      <c r="A2391" s="3"/>
      <c r="J2391" s="1"/>
    </row>
    <row r="2392" spans="1:10">
      <c r="A2392" s="3"/>
      <c r="J2392" s="1"/>
    </row>
    <row r="2393" spans="1:10">
      <c r="A2393" s="3"/>
      <c r="J2393" s="1"/>
    </row>
    <row r="2394" spans="1:10">
      <c r="A2394" s="3"/>
      <c r="J2394" s="1"/>
    </row>
    <row r="2395" spans="1:10">
      <c r="A2395" s="3"/>
      <c r="J2395" s="1"/>
    </row>
    <row r="2396" spans="1:10">
      <c r="A2396" s="3"/>
      <c r="J2396" s="1"/>
    </row>
    <row r="2397" spans="1:10">
      <c r="A2397" s="3"/>
      <c r="J2397" s="1"/>
    </row>
    <row r="2398" spans="1:10">
      <c r="A2398" s="3"/>
      <c r="J2398" s="1"/>
    </row>
    <row r="2399" spans="1:10">
      <c r="A2399" s="3"/>
      <c r="J2399" s="1"/>
    </row>
    <row r="2400" spans="1:10">
      <c r="A2400" s="3"/>
      <c r="J2400" s="1"/>
    </row>
    <row r="2401" spans="1:10">
      <c r="A2401" s="3"/>
      <c r="J2401" s="1"/>
    </row>
    <row r="2402" spans="1:10">
      <c r="A2402" s="3"/>
      <c r="J2402" s="1"/>
    </row>
    <row r="2403" spans="1:10">
      <c r="A2403" s="3"/>
      <c r="J2403" s="1"/>
    </row>
    <row r="2404" spans="1:10">
      <c r="A2404" s="3"/>
      <c r="J2404" s="1"/>
    </row>
    <row r="2405" spans="1:10">
      <c r="A2405" s="3"/>
      <c r="J2405" s="1"/>
    </row>
    <row r="2406" spans="1:10">
      <c r="A2406" s="3"/>
      <c r="J2406" s="1"/>
    </row>
    <row r="2407" spans="1:10">
      <c r="A2407" s="3"/>
      <c r="J2407" s="1"/>
    </row>
    <row r="2408" spans="1:10">
      <c r="A2408" s="3"/>
      <c r="J2408" s="1"/>
    </row>
    <row r="2409" spans="1:10">
      <c r="A2409" s="3"/>
      <c r="J2409" s="1"/>
    </row>
    <row r="2410" spans="1:10">
      <c r="A2410" s="3"/>
      <c r="J2410" s="1"/>
    </row>
  </sheetData>
  <sheetProtection formatCells="0" formatColumns="0" formatRows="0"/>
  <protectedRanges>
    <protectedRange sqref="B2:N2" name="Range1" securityDescriptor="O:WDG:WDD:(A;;CC;;;S-1-5-21-2765415570-973575261-3607781193-1203)"/>
    <protectedRange sqref="B3:N3" name="Range1_1" securityDescriptor="O:WDG:WDD:(A;;CC;;;S-1-5-21-2765415570-973575261-3607781193-1203)"/>
    <protectedRange sqref="B4:N4" name="Range1_2" securityDescriptor="O:WDG:WDD:(A;;CC;;;S-1-5-21-2765415570-973575261-3607781193-1203)"/>
  </protectedRanges>
  <customSheetViews>
    <customSheetView guid="{7656BB3C-1299-4E61-A887-A5F4101AF2AB}" scale="80" hiddenColumns="1" topLeftCell="C1">
      <pane ySplit="1" topLeftCell="A2" activePane="bottomLeft" state="frozen"/>
      <selection pane="bottomLeft" activeCell="H30" sqref="H30"/>
      <pageMargins left="0.75" right="0.75" top="1" bottom="1" header="0.5" footer="0.5"/>
    </customSheetView>
    <customSheetView guid="{DB3826DE-0319-4671-8564-0DA8C5492560}" scale="80" hiddenColumns="1" topLeftCell="C1">
      <pane ySplit="1" topLeftCell="A2" activePane="bottomLeft" state="frozen"/>
      <selection pane="bottomLeft" activeCell="J30" sqref="J30"/>
      <pageMargins left="0.75" right="0.75" top="1" bottom="1" header="0.5" footer="0.5"/>
      <pageSetup orientation="portrait" horizontalDpi="4294967295" verticalDpi="4294967295" r:id="rId1"/>
    </customSheetView>
  </customSheetViews>
  <dataValidations count="3">
    <dataValidation type="list" allowBlank="1" showInputMessage="1" showErrorMessage="1" sqref="L2:L22">
      <formula1>Returned</formula1>
    </dataValidation>
    <dataValidation type="list" allowBlank="1" showInputMessage="1" showErrorMessage="1" sqref="J2:J22">
      <formula1>BorrowPeriod</formula1>
    </dataValidation>
    <dataValidation type="list" allowBlank="1" showInputMessage="1" showErrorMessage="1" sqref="G2:G22">
      <formula1>ItemType</formula1>
    </dataValidation>
  </dataValidations>
  <pageMargins left="0.75" right="0.75" top="1" bottom="1" header="0.5" footer="0.5"/>
  <pageSetup orientation="portrait" horizontalDpi="4294967295" verticalDpi="4294967295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Data!$C$15:$C$16</xm:f>
          </x14:formula1>
          <xm:sqref>K8:K2410</xm:sqref>
        </x14:dataValidation>
        <x14:dataValidation type="list" allowBlank="1" showInputMessage="1" showErrorMessage="1">
          <x14:formula1>
            <xm:f>Data!$A$2:$A$11</xm:f>
          </x14:formula1>
          <xm:sqref>I8:I2410</xm:sqref>
        </x14:dataValidation>
        <x14:dataValidation type="list" allowBlank="1" showInputMessage="1" showErrorMessage="1">
          <x14:formula1>
            <xm:f>Data!$A$15:$A$20</xm:f>
          </x14:formula1>
          <xm:sqref>F8:F2410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>
    <tabColor theme="0" tint="-0.499984740745262"/>
  </sheetPr>
  <dimension ref="A1:N22"/>
  <sheetViews>
    <sheetView zoomScale="90" zoomScaleNormal="90" zoomScalePageLayoutView="90" workbookViewId="0">
      <pane ySplit="1" topLeftCell="A2" activePane="bottomLeft" state="frozen"/>
      <selection pane="bottomLeft" activeCell="H32" sqref="H32"/>
    </sheetView>
  </sheetViews>
  <sheetFormatPr defaultColWidth="9" defaultRowHeight="15.75"/>
  <cols>
    <col min="1" max="1" width="7.625" customWidth="1"/>
    <col min="2" max="2" width="15.625" customWidth="1"/>
    <col min="3" max="3" width="19.5" customWidth="1"/>
    <col min="4" max="4" width="18.5" customWidth="1"/>
    <col min="5" max="5" width="21.5" customWidth="1"/>
    <col min="6" max="6" width="17.5" customWidth="1"/>
    <col min="7" max="10" width="11"/>
    <col min="11" max="11" width="21.875" customWidth="1"/>
    <col min="12" max="12" width="11"/>
    <col min="13" max="13" width="21.125" customWidth="1"/>
    <col min="14" max="14" width="9" hidden="1" customWidth="1"/>
  </cols>
  <sheetData>
    <row r="1" spans="1:14" ht="31.5">
      <c r="A1" s="5" t="s">
        <v>129</v>
      </c>
      <c r="B1" s="5" t="s">
        <v>0</v>
      </c>
      <c r="C1" s="5" t="s">
        <v>116</v>
      </c>
      <c r="D1" s="5" t="s">
        <v>117</v>
      </c>
      <c r="E1" s="5" t="s">
        <v>118</v>
      </c>
      <c r="F1" s="5" t="s">
        <v>135</v>
      </c>
      <c r="G1" s="5" t="s">
        <v>1</v>
      </c>
      <c r="H1" s="5" t="s">
        <v>119</v>
      </c>
      <c r="I1" s="5" t="s">
        <v>120</v>
      </c>
      <c r="J1" s="5" t="s">
        <v>130</v>
      </c>
      <c r="K1" s="5" t="s">
        <v>121</v>
      </c>
      <c r="L1" s="5" t="s">
        <v>122</v>
      </c>
      <c r="M1" s="5" t="s">
        <v>131</v>
      </c>
    </row>
    <row r="2" spans="1:14">
      <c r="A2" s="3"/>
      <c r="B2" s="47"/>
      <c r="C2" s="47"/>
      <c r="D2" s="47"/>
      <c r="E2" s="47"/>
      <c r="F2" s="47"/>
      <c r="G2" s="47"/>
      <c r="H2" s="47"/>
      <c r="I2" s="47"/>
      <c r="J2" s="47"/>
      <c r="K2" s="48"/>
      <c r="L2" s="47"/>
      <c r="M2" s="48"/>
      <c r="N2" s="47"/>
    </row>
    <row r="3" spans="1:14">
      <c r="A3" s="3"/>
      <c r="B3" s="47"/>
      <c r="C3" s="47"/>
      <c r="D3" s="47"/>
      <c r="E3" s="47"/>
      <c r="F3" s="47"/>
      <c r="G3" s="47"/>
      <c r="H3" s="47"/>
      <c r="I3" s="47"/>
      <c r="J3" s="47"/>
      <c r="K3" s="48"/>
      <c r="L3" s="47"/>
      <c r="M3" s="48"/>
      <c r="N3" s="47"/>
    </row>
    <row r="4" spans="1:14">
      <c r="A4" s="3"/>
      <c r="B4" s="47"/>
      <c r="C4" s="47"/>
      <c r="D4" s="47"/>
      <c r="E4" s="47"/>
      <c r="F4" s="47"/>
      <c r="G4" s="47"/>
      <c r="H4" s="47"/>
      <c r="I4" s="47"/>
      <c r="J4" s="47"/>
      <c r="K4" s="48"/>
      <c r="L4" s="47"/>
      <c r="M4" s="48"/>
      <c r="N4" s="47"/>
    </row>
    <row r="5" spans="1:14">
      <c r="A5" s="3"/>
      <c r="B5" s="47"/>
      <c r="C5" s="47"/>
      <c r="D5" s="47"/>
      <c r="E5" s="47"/>
      <c r="F5" s="47"/>
      <c r="G5" s="47"/>
      <c r="H5" s="47"/>
      <c r="I5" s="47"/>
      <c r="J5" s="47"/>
      <c r="K5" s="48"/>
      <c r="L5" s="47"/>
      <c r="M5" s="48"/>
      <c r="N5" s="47"/>
    </row>
    <row r="6" spans="1:14">
      <c r="A6" s="3"/>
      <c r="B6" s="47"/>
      <c r="C6" s="47"/>
      <c r="D6" s="47"/>
      <c r="E6" s="47"/>
      <c r="F6" s="47"/>
      <c r="G6" s="47"/>
      <c r="H6" s="47"/>
      <c r="I6" s="47"/>
      <c r="J6" s="47"/>
      <c r="K6" s="48"/>
      <c r="L6" s="47"/>
      <c r="M6" s="48"/>
      <c r="N6" s="47"/>
    </row>
    <row r="7" spans="1:14">
      <c r="A7" s="3"/>
      <c r="K7" s="23"/>
      <c r="M7" s="23"/>
    </row>
    <row r="8" spans="1:14">
      <c r="A8" s="3"/>
      <c r="K8" s="23"/>
      <c r="M8" s="23"/>
    </row>
    <row r="9" spans="1:14">
      <c r="A9" s="3"/>
      <c r="K9" s="23"/>
      <c r="M9" s="23"/>
    </row>
    <row r="10" spans="1:14">
      <c r="A10" s="3"/>
      <c r="K10" s="23"/>
      <c r="M10" s="23"/>
    </row>
    <row r="11" spans="1:14">
      <c r="A11" s="3"/>
      <c r="K11" s="23"/>
      <c r="M11" s="23"/>
    </row>
    <row r="12" spans="1:14">
      <c r="A12" s="3"/>
      <c r="K12" s="23"/>
      <c r="M12" s="23"/>
    </row>
    <row r="13" spans="1:14">
      <c r="A13" s="3"/>
      <c r="K13" s="23"/>
      <c r="M13" s="23"/>
    </row>
    <row r="14" spans="1:14">
      <c r="A14" s="3"/>
      <c r="K14" s="23"/>
      <c r="M14" s="23"/>
    </row>
    <row r="15" spans="1:14">
      <c r="A15" s="3"/>
      <c r="K15" s="23"/>
      <c r="M15" s="23"/>
    </row>
    <row r="16" spans="1:14">
      <c r="A16" s="3"/>
      <c r="K16" s="23"/>
      <c r="M16" s="23"/>
    </row>
    <row r="17" spans="1:13">
      <c r="A17" s="3"/>
      <c r="K17" s="23"/>
      <c r="M17" s="23"/>
    </row>
    <row r="18" spans="1:13">
      <c r="A18" s="3"/>
      <c r="K18" s="23"/>
      <c r="M18" s="23"/>
    </row>
    <row r="19" spans="1:13">
      <c r="A19" s="3"/>
      <c r="K19" s="23"/>
      <c r="M19" s="23"/>
    </row>
    <row r="20" spans="1:13">
      <c r="A20" s="3"/>
      <c r="K20" s="23"/>
      <c r="M20" s="23"/>
    </row>
    <row r="21" spans="1:13">
      <c r="A21" s="3"/>
      <c r="K21" s="23"/>
      <c r="M21" s="23"/>
    </row>
    <row r="22" spans="1:13">
      <c r="A22" s="3"/>
      <c r="K22" s="23"/>
      <c r="M22" s="23"/>
    </row>
  </sheetData>
  <sheetProtection formatCells="0" formatColumns="0" formatRows="0"/>
  <protectedRanges>
    <protectedRange sqref="B2:N2" name="Range1" securityDescriptor="O:WDG:WDD:(A;;CC;;;S-1-5-21-2765415570-973575261-3607781193-1203)"/>
    <protectedRange sqref="B3:N3" name="Range1_1" securityDescriptor="O:WDG:WDD:(A;;CC;;;S-1-5-21-2765415570-973575261-3607781193-1203)"/>
    <protectedRange sqref="B4:N4" name="Range1_2" securityDescriptor="O:WDG:WDD:(A;;CC;;;S-1-5-21-2765415570-973575261-3607781193-1203)"/>
    <protectedRange sqref="B5:N5" name="Range1_3" securityDescriptor="O:WDG:WDD:(A;;CC;;;S-1-5-21-2765415570-973575261-3607781193-1203)"/>
    <protectedRange sqref="B6:N6" name="Range1_4" securityDescriptor="O:WDG:WDD:(A;;CC;;;S-1-5-21-2765415570-973575261-3607781193-1203)"/>
  </protectedRanges>
  <customSheetViews>
    <customSheetView guid="{7656BB3C-1299-4E61-A887-A5F4101AF2AB}" scale="90" hiddenColumns="1" topLeftCell="D1">
      <pane ySplit="1" topLeftCell="A2" activePane="bottomLeft" state="frozen"/>
      <selection pane="bottomLeft" activeCell="E17" sqref="E17"/>
      <pageMargins left="0.75" right="0.75" top="1" bottom="1" header="0.5" footer="0.5"/>
    </customSheetView>
    <customSheetView guid="{DB3826DE-0319-4671-8564-0DA8C5492560}" scale="90" hiddenColumns="1">
      <pane ySplit="1" topLeftCell="A2" activePane="bottomLeft" state="frozen"/>
      <selection pane="bottomLeft" activeCell="H32" sqref="H32"/>
      <pageMargins left="0.75" right="0.75" top="1" bottom="1" header="0.5" footer="0.5"/>
      <pageSetup orientation="portrait" horizontalDpi="4294967295" verticalDpi="4294967295" r:id="rId1"/>
    </customSheetView>
  </customSheetViews>
  <dataValidations count="3">
    <dataValidation type="list" allowBlank="1" showInputMessage="1" showErrorMessage="1" sqref="L2:L22">
      <formula1>Returned</formula1>
    </dataValidation>
    <dataValidation type="list" allowBlank="1" showInputMessage="1" showErrorMessage="1" sqref="J2:J22">
      <formula1>BorrowPeriod</formula1>
    </dataValidation>
    <dataValidation type="list" allowBlank="1" showInputMessage="1" showErrorMessage="1" sqref="G2:G22">
      <formula1>ItemType</formula1>
    </dataValidation>
  </dataValidations>
  <pageMargins left="0.75" right="0.75" top="1" bottom="1" header="0.5" footer="0.5"/>
  <pageSetup orientation="portrait" horizontalDpi="4294967295" verticalDpi="4294967295"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>
    <tabColor theme="2" tint="-0.499984740745262"/>
    <pageSetUpPr fitToPage="1"/>
  </sheetPr>
  <dimension ref="A1:H302"/>
  <sheetViews>
    <sheetView zoomScale="40" zoomScaleNormal="40" zoomScalePageLayoutView="40" workbookViewId="0">
      <pane ySplit="1" topLeftCell="A2" activePane="bottomLeft" state="frozen"/>
      <selection pane="bottomLeft"/>
    </sheetView>
  </sheetViews>
  <sheetFormatPr defaultColWidth="9" defaultRowHeight="46.5"/>
  <cols>
    <col min="1" max="1" width="51.5" style="36" customWidth="1"/>
    <col min="2" max="2" width="20.875" style="38" hidden="1" customWidth="1"/>
    <col min="3" max="3" width="36.875" style="38" customWidth="1"/>
    <col min="4" max="4" width="22.125" style="38" hidden="1" customWidth="1"/>
    <col min="5" max="5" width="28.125" style="38" customWidth="1"/>
    <col min="6" max="6" width="46.875" style="39" customWidth="1"/>
    <col min="7" max="7" width="38" style="39" customWidth="1"/>
    <col min="8" max="8" width="58.5" style="36" customWidth="1"/>
    <col min="9" max="9" width="10.875" customWidth="1"/>
    <col min="10" max="10" width="11"/>
    <col min="11" max="12" width="10.875" customWidth="1"/>
    <col min="13" max="13" width="11"/>
    <col min="14" max="14" width="10.875" customWidth="1"/>
    <col min="15" max="15" width="11"/>
    <col min="16" max="16" width="10.875" customWidth="1"/>
  </cols>
  <sheetData>
    <row r="1" spans="1:8" s="31" customFormat="1" ht="41.25" customHeight="1">
      <c r="A1" s="32" t="s">
        <v>138</v>
      </c>
      <c r="B1" s="33" t="s">
        <v>0</v>
      </c>
      <c r="C1" s="33" t="s">
        <v>139</v>
      </c>
      <c r="D1" s="33" t="s">
        <v>118</v>
      </c>
      <c r="E1" s="33" t="s">
        <v>135</v>
      </c>
      <c r="F1" s="34" t="s">
        <v>140</v>
      </c>
      <c r="G1" s="34" t="s">
        <v>121</v>
      </c>
      <c r="H1" s="32" t="s">
        <v>141</v>
      </c>
    </row>
    <row r="2" spans="1:8" s="9" customFormat="1" ht="139.5" customHeight="1">
      <c r="A2" s="35" t="str">
        <f>IF(B2="","",CONCATENATE("*",B2,"*"))</f>
        <v/>
      </c>
      <c r="B2" s="38" t="str">
        <f>IF(ISBLANK(Charged!B2),"",Charged!B2)</f>
        <v/>
      </c>
      <c r="C2" s="39" t="str">
        <f>IF(ISBLANK(Charged!C2),"",CONCATENATE(Charged!C2,", ",Charged!D2))</f>
        <v/>
      </c>
      <c r="D2" s="38" t="str">
        <f>IF(ISBLANK(Charged!E2),"",Charged!E2)</f>
        <v/>
      </c>
      <c r="E2" s="38" t="str">
        <f>IF(ISBLANK(Charged!F2),"",Charged!F2)</f>
        <v/>
      </c>
      <c r="F2" s="39" t="str">
        <f>IF(ISBLANK(Charged!H2),"",Charged!H2)</f>
        <v/>
      </c>
      <c r="G2" s="40" t="str">
        <f>IF(ISBLANK(Charged!K2),"",Charged!K2)</f>
        <v/>
      </c>
      <c r="H2" s="35" t="str">
        <f>IF(D2="","",CONCATENATE("*",D2,"*"))</f>
        <v/>
      </c>
    </row>
    <row r="3" spans="1:8" s="9" customFormat="1" ht="139.5" customHeight="1">
      <c r="A3" s="35" t="str">
        <f t="shared" ref="A3:A66" si="0">IF(B3="","",CONCATENATE("*",B3,"*"))</f>
        <v/>
      </c>
      <c r="B3" s="38" t="str">
        <f>IF(ISBLANK(Charged!B3),"",Charged!B3)</f>
        <v/>
      </c>
      <c r="C3" s="38" t="str">
        <f>IF(ISBLANK(Charged!C3),"",CONCATENATE(Charged!C3,", ",Charged!D3))</f>
        <v/>
      </c>
      <c r="D3" s="38" t="str">
        <f>IF(ISBLANK(Charged!E3),"",Charged!E3)</f>
        <v/>
      </c>
      <c r="E3" s="38" t="str">
        <f>IF(ISBLANK(Charged!F3),"",Charged!F3)</f>
        <v/>
      </c>
      <c r="F3" s="39" t="str">
        <f>IF(ISBLANK(Charged!H3),"",Charged!H3)</f>
        <v/>
      </c>
      <c r="G3" s="37" t="str">
        <f>IF(ISBLANK(Charged!K3),"",Charged!K3)</f>
        <v/>
      </c>
      <c r="H3" s="35" t="str">
        <f t="shared" ref="H3:H66" si="1">IF(D3="","",CONCATENATE("*",D3,"*"))</f>
        <v/>
      </c>
    </row>
    <row r="4" spans="1:8" s="9" customFormat="1" ht="139.5" customHeight="1">
      <c r="A4" s="35" t="str">
        <f t="shared" si="0"/>
        <v/>
      </c>
      <c r="B4" s="38" t="str">
        <f>IF(ISBLANK(Charged!B4),"",Charged!B4)</f>
        <v/>
      </c>
      <c r="C4" s="38" t="str">
        <f>IF(ISBLANK(Charged!C4),"",CONCATENATE(Charged!C4,", ",Charged!D4))</f>
        <v/>
      </c>
      <c r="D4" s="38" t="str">
        <f>IF(ISBLANK(Charged!E4),"",Charged!E4)</f>
        <v/>
      </c>
      <c r="E4" s="38" t="str">
        <f>IF(ISBLANK(Charged!F4),"",Charged!F4)</f>
        <v/>
      </c>
      <c r="F4" s="39" t="str">
        <f>IF(ISBLANK(Charged!H4),"",Charged!H4)</f>
        <v/>
      </c>
      <c r="G4" s="37" t="str">
        <f>IF(ISBLANK(Charged!K4),"",Charged!K4)</f>
        <v/>
      </c>
      <c r="H4" s="35" t="str">
        <f t="shared" si="1"/>
        <v/>
      </c>
    </row>
    <row r="5" spans="1:8" s="9" customFormat="1" ht="139.5" customHeight="1">
      <c r="A5" s="35" t="str">
        <f t="shared" si="0"/>
        <v/>
      </c>
      <c r="B5" s="38" t="str">
        <f>IF(ISBLANK(Charged!B5),"",Charged!B5)</f>
        <v/>
      </c>
      <c r="C5" s="38" t="str">
        <f>IF(ISBLANK(Charged!C5),"",CONCATENATE(Charged!C5,", ",Charged!D5))</f>
        <v/>
      </c>
      <c r="D5" s="38" t="str">
        <f>IF(ISBLANK(Charged!E5),"",Charged!E5)</f>
        <v/>
      </c>
      <c r="E5" s="38" t="str">
        <f>IF(ISBLANK(Charged!F5),"",Charged!F5)</f>
        <v/>
      </c>
      <c r="F5" s="39" t="str">
        <f>IF(ISBLANK(Charged!H5),"",Charged!H5)</f>
        <v/>
      </c>
      <c r="G5" s="37" t="str">
        <f>IF(ISBLANK(Charged!K5),"",Charged!K5)</f>
        <v/>
      </c>
      <c r="H5" s="35" t="str">
        <f t="shared" si="1"/>
        <v/>
      </c>
    </row>
    <row r="6" spans="1:8" s="9" customFormat="1" ht="139.5" customHeight="1">
      <c r="A6" s="35" t="str">
        <f t="shared" si="0"/>
        <v/>
      </c>
      <c r="B6" s="38" t="str">
        <f>IF(ISBLANK(Charged!B6),"",Charged!B6)</f>
        <v/>
      </c>
      <c r="C6" s="38" t="str">
        <f>IF(ISBLANK(Charged!C6),"",CONCATENATE(Charged!C6,", ",Charged!D6))</f>
        <v/>
      </c>
      <c r="D6" s="38" t="str">
        <f>IF(ISBLANK(Charged!E6),"",Charged!E6)</f>
        <v/>
      </c>
      <c r="E6" s="38" t="str">
        <f>IF(ISBLANK(Charged!F6),"",Charged!F6)</f>
        <v/>
      </c>
      <c r="F6" s="39" t="str">
        <f>IF(ISBLANK(Charged!H6),"",Charged!H6)</f>
        <v/>
      </c>
      <c r="G6" s="37" t="str">
        <f>IF(ISBLANK(Charged!K6),"",Charged!K6)</f>
        <v/>
      </c>
      <c r="H6" s="35" t="str">
        <f t="shared" si="1"/>
        <v/>
      </c>
    </row>
    <row r="7" spans="1:8" s="9" customFormat="1" ht="139.5" customHeight="1">
      <c r="A7" s="35" t="str">
        <f t="shared" si="0"/>
        <v/>
      </c>
      <c r="B7" s="38" t="str">
        <f>IF(ISBLANK(Charged!B7),"",Charged!B7)</f>
        <v/>
      </c>
      <c r="C7" s="38" t="str">
        <f>IF(ISBLANK(Charged!C7),"",CONCATENATE(Charged!C7,", ",Charged!D7))</f>
        <v/>
      </c>
      <c r="D7" s="38" t="str">
        <f>IF(ISBLANK(Charged!E7),"",Charged!E7)</f>
        <v/>
      </c>
      <c r="E7" s="38" t="str">
        <f>IF(ISBLANK(Charged!F7),"",Charged!F7)</f>
        <v/>
      </c>
      <c r="F7" s="39" t="str">
        <f>IF(ISBLANK(Charged!H7),"",Charged!H7)</f>
        <v/>
      </c>
      <c r="G7" s="37" t="str">
        <f>IF(ISBLANK(Charged!K7),"",Charged!K7)</f>
        <v/>
      </c>
      <c r="H7" s="35" t="str">
        <f t="shared" si="1"/>
        <v/>
      </c>
    </row>
    <row r="8" spans="1:8" s="9" customFormat="1" ht="139.5" customHeight="1">
      <c r="A8" s="35" t="str">
        <f t="shared" si="0"/>
        <v/>
      </c>
      <c r="B8" s="38" t="str">
        <f>IF(ISBLANK(Charged!B8),"",Charged!B8)</f>
        <v/>
      </c>
      <c r="C8" s="38" t="str">
        <f>IF(ISBLANK(Charged!C8),"",CONCATENATE(Charged!C8,", ",Charged!D8))</f>
        <v/>
      </c>
      <c r="D8" s="38" t="str">
        <f>IF(ISBLANK(Charged!E8),"",Charged!E8)</f>
        <v/>
      </c>
      <c r="E8" s="38" t="str">
        <f>IF(ISBLANK(Charged!F8),"",Charged!F8)</f>
        <v/>
      </c>
      <c r="F8" s="39" t="str">
        <f>IF(ISBLANK(Charged!H8),"",Charged!H8)</f>
        <v/>
      </c>
      <c r="G8" s="37" t="str">
        <f>IF(ISBLANK(Charged!K8),"",Charged!K8)</f>
        <v/>
      </c>
      <c r="H8" s="35" t="str">
        <f t="shared" si="1"/>
        <v/>
      </c>
    </row>
    <row r="9" spans="1:8" s="9" customFormat="1" ht="139.5" customHeight="1">
      <c r="A9" s="35" t="str">
        <f t="shared" si="0"/>
        <v/>
      </c>
      <c r="B9" s="38" t="str">
        <f>IF(ISBLANK(Charged!B9),"",Charged!B9)</f>
        <v/>
      </c>
      <c r="C9" s="38" t="str">
        <f>IF(ISBLANK(Charged!C9),"",CONCATENATE(Charged!C9,", ",Charged!D9))</f>
        <v/>
      </c>
      <c r="D9" s="38" t="str">
        <f>IF(ISBLANK(Charged!E9),"",Charged!E9)</f>
        <v/>
      </c>
      <c r="E9" s="38" t="str">
        <f>IF(ISBLANK(Charged!F9),"",Charged!F9)</f>
        <v/>
      </c>
      <c r="F9" s="39" t="str">
        <f>IF(ISBLANK(Charged!H9),"",Charged!H9)</f>
        <v/>
      </c>
      <c r="G9" s="37" t="str">
        <f>IF(ISBLANK(Charged!K9),"",Charged!K9)</f>
        <v/>
      </c>
      <c r="H9" s="35" t="str">
        <f t="shared" si="1"/>
        <v/>
      </c>
    </row>
    <row r="10" spans="1:8" s="9" customFormat="1" ht="139.5" customHeight="1">
      <c r="A10" s="35" t="str">
        <f t="shared" si="0"/>
        <v/>
      </c>
      <c r="B10" s="38" t="str">
        <f>IF(ISBLANK(Charged!B10),"",Charged!B10)</f>
        <v/>
      </c>
      <c r="C10" s="38" t="str">
        <f>IF(ISBLANK(Charged!C10),"",CONCATENATE(Charged!C10,", ",Charged!D10))</f>
        <v/>
      </c>
      <c r="D10" s="38" t="str">
        <f>IF(ISBLANK(Charged!E10),"",Charged!E10)</f>
        <v/>
      </c>
      <c r="E10" s="38" t="str">
        <f>IF(ISBLANK(Charged!F10),"",Charged!F10)</f>
        <v/>
      </c>
      <c r="F10" s="39" t="str">
        <f>IF(ISBLANK(Charged!H10),"",Charged!H10)</f>
        <v/>
      </c>
      <c r="G10" s="37" t="str">
        <f>IF(ISBLANK(Charged!K10),"",Charged!K10)</f>
        <v/>
      </c>
      <c r="H10" s="35" t="str">
        <f t="shared" si="1"/>
        <v/>
      </c>
    </row>
    <row r="11" spans="1:8" s="9" customFormat="1" ht="139.5" customHeight="1">
      <c r="A11" s="35" t="str">
        <f t="shared" si="0"/>
        <v/>
      </c>
      <c r="B11" s="38" t="str">
        <f>IF(ISBLANK(Charged!B11),"",Charged!B11)</f>
        <v/>
      </c>
      <c r="C11" s="38" t="str">
        <f>IF(ISBLANK(Charged!C11),"",CONCATENATE(Charged!C11,", ",Charged!D11))</f>
        <v/>
      </c>
      <c r="D11" s="38" t="str">
        <f>IF(ISBLANK(Charged!E11),"",Charged!E11)</f>
        <v/>
      </c>
      <c r="E11" s="38" t="str">
        <f>IF(ISBLANK(Charged!F11),"",Charged!F11)</f>
        <v/>
      </c>
      <c r="F11" s="39" t="str">
        <f>IF(ISBLANK(Charged!H11),"",Charged!H11)</f>
        <v/>
      </c>
      <c r="G11" s="37" t="str">
        <f>IF(ISBLANK(Charged!K11),"",Charged!K11)</f>
        <v/>
      </c>
      <c r="H11" s="35" t="str">
        <f t="shared" si="1"/>
        <v/>
      </c>
    </row>
    <row r="12" spans="1:8" s="9" customFormat="1" ht="139.5" customHeight="1">
      <c r="A12" s="35" t="str">
        <f t="shared" si="0"/>
        <v/>
      </c>
      <c r="B12" s="38" t="str">
        <f>IF(ISBLANK(Charged!B12),"",Charged!B12)</f>
        <v/>
      </c>
      <c r="C12" s="38" t="str">
        <f>IF(ISBLANK(Charged!C12),"",CONCATENATE(Charged!C12,", ",Charged!D12))</f>
        <v/>
      </c>
      <c r="D12" s="38" t="str">
        <f>IF(ISBLANK(Charged!E12),"",Charged!E12)</f>
        <v/>
      </c>
      <c r="E12" s="38" t="str">
        <f>IF(ISBLANK(Charged!F12),"",Charged!F12)</f>
        <v/>
      </c>
      <c r="F12" s="39" t="str">
        <f>IF(ISBLANK(Charged!H12),"",Charged!H12)</f>
        <v/>
      </c>
      <c r="G12" s="37" t="str">
        <f>IF(ISBLANK(Charged!K12),"",Charged!K12)</f>
        <v/>
      </c>
      <c r="H12" s="35" t="str">
        <f t="shared" si="1"/>
        <v/>
      </c>
    </row>
    <row r="13" spans="1:8" s="9" customFormat="1" ht="139.5" customHeight="1">
      <c r="A13" s="35" t="str">
        <f t="shared" si="0"/>
        <v/>
      </c>
      <c r="B13" s="38" t="str">
        <f>IF(ISBLANK(Charged!B13),"",Charged!B13)</f>
        <v/>
      </c>
      <c r="C13" s="38" t="str">
        <f>IF(ISBLANK(Charged!C13),"",CONCATENATE(Charged!C13,", ",Charged!D13))</f>
        <v/>
      </c>
      <c r="D13" s="38" t="str">
        <f>IF(ISBLANK(Charged!E13),"",Charged!E13)</f>
        <v/>
      </c>
      <c r="E13" s="38" t="str">
        <f>IF(ISBLANK(Charged!F13),"",Charged!F13)</f>
        <v/>
      </c>
      <c r="F13" s="39" t="str">
        <f>IF(ISBLANK(Charged!H13),"",Charged!H13)</f>
        <v/>
      </c>
      <c r="G13" s="37" t="str">
        <f>IF(ISBLANK(Charged!K13),"",Charged!K13)</f>
        <v/>
      </c>
      <c r="H13" s="35" t="str">
        <f t="shared" si="1"/>
        <v/>
      </c>
    </row>
    <row r="14" spans="1:8" s="9" customFormat="1" ht="139.5" customHeight="1">
      <c r="A14" s="35" t="str">
        <f t="shared" si="0"/>
        <v/>
      </c>
      <c r="B14" s="38" t="str">
        <f>IF(ISBLANK(Charged!B14),"",Charged!B14)</f>
        <v/>
      </c>
      <c r="C14" s="38" t="str">
        <f>IF(ISBLANK(Charged!C14),"",CONCATENATE(Charged!C14,", ",Charged!D14))</f>
        <v/>
      </c>
      <c r="D14" s="38" t="str">
        <f>IF(ISBLANK(Charged!E14),"",Charged!E14)</f>
        <v/>
      </c>
      <c r="E14" s="38" t="str">
        <f>IF(ISBLANK(Charged!F14),"",Charged!F14)</f>
        <v/>
      </c>
      <c r="F14" s="39" t="str">
        <f>IF(ISBLANK(Charged!H14),"",Charged!H14)</f>
        <v/>
      </c>
      <c r="G14" s="37" t="str">
        <f>IF(ISBLANK(Charged!K14),"",Charged!K14)</f>
        <v/>
      </c>
      <c r="H14" s="35" t="str">
        <f t="shared" si="1"/>
        <v/>
      </c>
    </row>
    <row r="15" spans="1:8" s="9" customFormat="1" ht="139.5" customHeight="1">
      <c r="A15" s="35" t="str">
        <f t="shared" si="0"/>
        <v/>
      </c>
      <c r="B15" s="38" t="str">
        <f>IF(ISBLANK(Charged!B15),"",Charged!B15)</f>
        <v/>
      </c>
      <c r="C15" s="38" t="str">
        <f>IF(ISBLANK(Charged!C15),"",CONCATENATE(Charged!C15,", ",Charged!D15))</f>
        <v/>
      </c>
      <c r="D15" s="38" t="str">
        <f>IF(ISBLANK(Charged!E15),"",Charged!E15)</f>
        <v/>
      </c>
      <c r="E15" s="38" t="str">
        <f>IF(ISBLANK(Charged!F15),"",Charged!F15)</f>
        <v/>
      </c>
      <c r="F15" s="39" t="str">
        <f>IF(ISBLANK(Charged!H15),"",Charged!H15)</f>
        <v/>
      </c>
      <c r="G15" s="37" t="str">
        <f>IF(ISBLANK(Charged!K15),"",Charged!K15)</f>
        <v/>
      </c>
      <c r="H15" s="35" t="str">
        <f t="shared" si="1"/>
        <v/>
      </c>
    </row>
    <row r="16" spans="1:8" s="9" customFormat="1" ht="139.5" customHeight="1">
      <c r="A16" s="35" t="str">
        <f t="shared" si="0"/>
        <v/>
      </c>
      <c r="B16" s="38" t="str">
        <f>IF(ISBLANK(Charged!B16),"",Charged!B16)</f>
        <v/>
      </c>
      <c r="C16" s="38" t="str">
        <f>IF(ISBLANK(Charged!C16),"",CONCATENATE(Charged!C16,", ",Charged!D16))</f>
        <v/>
      </c>
      <c r="D16" s="38" t="str">
        <f>IF(ISBLANK(Charged!E16),"",Charged!E16)</f>
        <v/>
      </c>
      <c r="E16" s="38" t="str">
        <f>IF(ISBLANK(Charged!F16),"",Charged!F16)</f>
        <v/>
      </c>
      <c r="F16" s="39" t="str">
        <f>IF(ISBLANK(Charged!H16),"",Charged!H16)</f>
        <v/>
      </c>
      <c r="G16" s="37" t="str">
        <f>IF(ISBLANK(Charged!K16),"",Charged!K16)</f>
        <v/>
      </c>
      <c r="H16" s="35" t="str">
        <f t="shared" si="1"/>
        <v/>
      </c>
    </row>
    <row r="17" spans="1:8" s="9" customFormat="1" ht="139.5" customHeight="1">
      <c r="A17" s="35" t="str">
        <f t="shared" si="0"/>
        <v/>
      </c>
      <c r="B17" s="38" t="str">
        <f>IF(ISBLANK(Charged!B17),"",Charged!B17)</f>
        <v/>
      </c>
      <c r="C17" s="38" t="str">
        <f>IF(ISBLANK(Charged!C17),"",CONCATENATE(Charged!C17,", ",Charged!D17))</f>
        <v/>
      </c>
      <c r="D17" s="38" t="str">
        <f>IF(ISBLANK(Charged!E17),"",Charged!E17)</f>
        <v/>
      </c>
      <c r="E17" s="38" t="str">
        <f>IF(ISBLANK(Charged!F17),"",Charged!F17)</f>
        <v/>
      </c>
      <c r="F17" s="39" t="str">
        <f>IF(ISBLANK(Charged!H17),"",Charged!H17)</f>
        <v/>
      </c>
      <c r="G17" s="37" t="str">
        <f>IF(ISBLANK(Charged!K17),"",Charged!K17)</f>
        <v/>
      </c>
      <c r="H17" s="35" t="str">
        <f t="shared" si="1"/>
        <v/>
      </c>
    </row>
    <row r="18" spans="1:8" s="9" customFormat="1" ht="139.5" customHeight="1">
      <c r="A18" s="35" t="str">
        <f t="shared" si="0"/>
        <v/>
      </c>
      <c r="B18" s="38" t="str">
        <f>IF(ISBLANK(Charged!B18),"",Charged!B18)</f>
        <v/>
      </c>
      <c r="C18" s="38" t="str">
        <f>IF(ISBLANK(Charged!C18),"",CONCATENATE(Charged!C18,", ",Charged!D18))</f>
        <v/>
      </c>
      <c r="D18" s="38" t="str">
        <f>IF(ISBLANK(Charged!E18),"",Charged!E18)</f>
        <v/>
      </c>
      <c r="E18" s="38" t="str">
        <f>IF(ISBLANK(Charged!F18),"",Charged!F18)</f>
        <v/>
      </c>
      <c r="F18" s="39" t="str">
        <f>IF(ISBLANK(Charged!H18),"",Charged!H18)</f>
        <v/>
      </c>
      <c r="G18" s="37" t="str">
        <f>IF(ISBLANK(Charged!K18),"",Charged!K18)</f>
        <v/>
      </c>
      <c r="H18" s="35" t="str">
        <f t="shared" si="1"/>
        <v/>
      </c>
    </row>
    <row r="19" spans="1:8" s="9" customFormat="1" ht="139.5" customHeight="1">
      <c r="A19" s="35" t="str">
        <f t="shared" si="0"/>
        <v/>
      </c>
      <c r="B19" s="38" t="str">
        <f>IF(ISBLANK(Charged!B19),"",Charged!B19)</f>
        <v/>
      </c>
      <c r="C19" s="38" t="str">
        <f>IF(ISBLANK(Charged!C19),"",CONCATENATE(Charged!C19,", ",Charged!D19))</f>
        <v/>
      </c>
      <c r="D19" s="38" t="str">
        <f>IF(ISBLANK(Charged!E19),"",Charged!E19)</f>
        <v/>
      </c>
      <c r="E19" s="38" t="str">
        <f>IF(ISBLANK(Charged!F19),"",Charged!F19)</f>
        <v/>
      </c>
      <c r="F19" s="39" t="str">
        <f>IF(ISBLANK(Charged!H19),"",Charged!H19)</f>
        <v/>
      </c>
      <c r="G19" s="37" t="str">
        <f>IF(ISBLANK(Charged!K19),"",Charged!K19)</f>
        <v/>
      </c>
      <c r="H19" s="35" t="str">
        <f t="shared" si="1"/>
        <v/>
      </c>
    </row>
    <row r="20" spans="1:8" s="9" customFormat="1" ht="139.5" customHeight="1">
      <c r="A20" s="35" t="str">
        <f t="shared" si="0"/>
        <v/>
      </c>
      <c r="B20" s="38" t="str">
        <f>IF(ISBLANK(Charged!B20),"",Charged!B20)</f>
        <v/>
      </c>
      <c r="C20" s="38" t="str">
        <f>IF(ISBLANK(Charged!C20),"",CONCATENATE(Charged!C20,", ",Charged!D20))</f>
        <v/>
      </c>
      <c r="D20" s="38" t="str">
        <f>IF(ISBLANK(Charged!E20),"",Charged!E20)</f>
        <v/>
      </c>
      <c r="E20" s="38" t="str">
        <f>IF(ISBLANK(Charged!F20),"",Charged!F20)</f>
        <v/>
      </c>
      <c r="F20" s="39" t="str">
        <f>IF(ISBLANK(Charged!H20),"",Charged!H20)</f>
        <v/>
      </c>
      <c r="G20" s="37" t="str">
        <f>IF(ISBLANK(Charged!K20),"",Charged!K20)</f>
        <v/>
      </c>
      <c r="H20" s="35" t="str">
        <f t="shared" si="1"/>
        <v/>
      </c>
    </row>
    <row r="21" spans="1:8" s="9" customFormat="1" ht="139.5" customHeight="1">
      <c r="A21" s="35" t="str">
        <f t="shared" si="0"/>
        <v/>
      </c>
      <c r="B21" s="38" t="str">
        <f>IF(ISBLANK(Charged!B21),"",Charged!B21)</f>
        <v/>
      </c>
      <c r="C21" s="38" t="str">
        <f>IF(ISBLANK(Charged!C21),"",CONCATENATE(Charged!C21,", ",Charged!D21))</f>
        <v/>
      </c>
      <c r="D21" s="38" t="str">
        <f>IF(ISBLANK(Charged!E21),"",Charged!E21)</f>
        <v/>
      </c>
      <c r="E21" s="38" t="str">
        <f>IF(ISBLANK(Charged!F21),"",Charged!F21)</f>
        <v/>
      </c>
      <c r="F21" s="39" t="str">
        <f>IF(ISBLANK(Charged!H21),"",Charged!H21)</f>
        <v/>
      </c>
      <c r="G21" s="37" t="str">
        <f>IF(ISBLANK(Charged!K21),"",Charged!K21)</f>
        <v/>
      </c>
      <c r="H21" s="35" t="str">
        <f t="shared" si="1"/>
        <v/>
      </c>
    </row>
    <row r="22" spans="1:8" s="9" customFormat="1" ht="139.5" customHeight="1">
      <c r="A22" s="35" t="str">
        <f t="shared" si="0"/>
        <v/>
      </c>
      <c r="B22" s="38" t="str">
        <f>IF(ISBLANK(Charged!B22),"",Charged!B22)</f>
        <v/>
      </c>
      <c r="C22" s="38" t="str">
        <f>IF(ISBLANK(Charged!C22),"",CONCATENATE(Charged!C22,", ",Charged!D22))</f>
        <v/>
      </c>
      <c r="D22" s="38" t="str">
        <f>IF(ISBLANK(Charged!E22),"",Charged!E22)</f>
        <v/>
      </c>
      <c r="E22" s="38" t="str">
        <f>IF(ISBLANK(Charged!F22),"",Charged!F22)</f>
        <v/>
      </c>
      <c r="F22" s="39" t="str">
        <f>IF(ISBLANK(Charged!H22),"",Charged!H22)</f>
        <v/>
      </c>
      <c r="G22" s="37" t="str">
        <f>IF(ISBLANK(Charged!K22),"",Charged!K22)</f>
        <v/>
      </c>
      <c r="H22" s="35" t="str">
        <f t="shared" si="1"/>
        <v/>
      </c>
    </row>
    <row r="23" spans="1:8" s="9" customFormat="1" ht="139.5" customHeight="1">
      <c r="A23" s="35" t="str">
        <f t="shared" si="0"/>
        <v/>
      </c>
      <c r="B23" s="38" t="str">
        <f>IF(ISBLANK(Charged!B23),"",Charged!B23)</f>
        <v/>
      </c>
      <c r="C23" s="38" t="str">
        <f>IF(ISBLANK(Charged!C23),"",CONCATENATE(Charged!C23,", ",Charged!D23))</f>
        <v/>
      </c>
      <c r="D23" s="38" t="str">
        <f>IF(ISBLANK(Charged!E23),"",Charged!E23)</f>
        <v/>
      </c>
      <c r="E23" s="38" t="str">
        <f>IF(ISBLANK(Charged!F23),"",Charged!F23)</f>
        <v/>
      </c>
      <c r="F23" s="39" t="str">
        <f>IF(ISBLANK(Charged!H23),"",Charged!H23)</f>
        <v/>
      </c>
      <c r="G23" s="37" t="str">
        <f>IF(ISBLANK(Charged!K23),"",Charged!K23)</f>
        <v/>
      </c>
      <c r="H23" s="35" t="str">
        <f t="shared" si="1"/>
        <v/>
      </c>
    </row>
    <row r="24" spans="1:8" s="9" customFormat="1" ht="139.5" customHeight="1">
      <c r="A24" s="35" t="str">
        <f t="shared" si="0"/>
        <v/>
      </c>
      <c r="B24" s="38" t="str">
        <f>IF(ISBLANK(Charged!B24),"",Charged!B24)</f>
        <v/>
      </c>
      <c r="C24" s="38" t="str">
        <f>IF(ISBLANK(Charged!C24),"",CONCATENATE(Charged!C24,", ",Charged!D24))</f>
        <v/>
      </c>
      <c r="D24" s="38" t="str">
        <f>IF(ISBLANK(Charged!E24),"",Charged!E24)</f>
        <v/>
      </c>
      <c r="E24" s="38" t="str">
        <f>IF(ISBLANK(Charged!F24),"",Charged!F24)</f>
        <v/>
      </c>
      <c r="F24" s="39" t="str">
        <f>IF(ISBLANK(Charged!H24),"",Charged!H24)</f>
        <v/>
      </c>
      <c r="G24" s="37" t="str">
        <f>IF(ISBLANK(Charged!K24),"",Charged!K24)</f>
        <v/>
      </c>
      <c r="H24" s="35" t="str">
        <f t="shared" si="1"/>
        <v/>
      </c>
    </row>
    <row r="25" spans="1:8" s="9" customFormat="1" ht="139.5" customHeight="1">
      <c r="A25" s="35" t="str">
        <f t="shared" si="0"/>
        <v/>
      </c>
      <c r="B25" s="38" t="str">
        <f>IF(ISBLANK(Charged!B25),"",Charged!B25)</f>
        <v/>
      </c>
      <c r="C25" s="38" t="str">
        <f>IF(ISBLANK(Charged!C25),"",CONCATENATE(Charged!C25,", ",Charged!D25))</f>
        <v/>
      </c>
      <c r="D25" s="38" t="str">
        <f>IF(ISBLANK(Charged!E25),"",Charged!E25)</f>
        <v/>
      </c>
      <c r="E25" s="38" t="str">
        <f>IF(ISBLANK(Charged!F25),"",Charged!F25)</f>
        <v/>
      </c>
      <c r="F25" s="39" t="str">
        <f>IF(ISBLANK(Charged!H25),"",Charged!H25)</f>
        <v/>
      </c>
      <c r="G25" s="37" t="str">
        <f>IF(ISBLANK(Charged!K25),"",Charged!K25)</f>
        <v/>
      </c>
      <c r="H25" s="35" t="str">
        <f t="shared" si="1"/>
        <v/>
      </c>
    </row>
    <row r="26" spans="1:8" s="9" customFormat="1" ht="139.5" customHeight="1">
      <c r="A26" s="35" t="str">
        <f t="shared" si="0"/>
        <v/>
      </c>
      <c r="B26" s="38" t="str">
        <f>IF(ISBLANK(Charged!B26),"",Charged!B26)</f>
        <v/>
      </c>
      <c r="C26" s="38" t="str">
        <f>IF(ISBLANK(Charged!C26),"",CONCATENATE(Charged!C26,", ",Charged!D26))</f>
        <v/>
      </c>
      <c r="D26" s="38" t="str">
        <f>IF(ISBLANK(Charged!E26),"",Charged!E26)</f>
        <v/>
      </c>
      <c r="E26" s="38" t="str">
        <f>IF(ISBLANK(Charged!F26),"",Charged!F26)</f>
        <v/>
      </c>
      <c r="F26" s="39" t="str">
        <f>IF(ISBLANK(Charged!H26),"",Charged!H26)</f>
        <v/>
      </c>
      <c r="G26" s="37" t="str">
        <f>IF(ISBLANK(Charged!K26),"",Charged!K26)</f>
        <v/>
      </c>
      <c r="H26" s="35" t="str">
        <f t="shared" si="1"/>
        <v/>
      </c>
    </row>
    <row r="27" spans="1:8" s="9" customFormat="1" ht="139.5" customHeight="1">
      <c r="A27" s="35" t="str">
        <f t="shared" si="0"/>
        <v/>
      </c>
      <c r="B27" s="38" t="str">
        <f>IF(ISBLANK(Charged!B27),"",Charged!B27)</f>
        <v/>
      </c>
      <c r="C27" s="38" t="str">
        <f>IF(ISBLANK(Charged!C27),"",CONCATENATE(Charged!C27,", ",Charged!D27))</f>
        <v/>
      </c>
      <c r="D27" s="38" t="str">
        <f>IF(ISBLANK(Charged!E27),"",Charged!E27)</f>
        <v/>
      </c>
      <c r="E27" s="38" t="str">
        <f>IF(ISBLANK(Charged!F27),"",Charged!F27)</f>
        <v/>
      </c>
      <c r="F27" s="39" t="str">
        <f>IF(ISBLANK(Charged!H27),"",Charged!H27)</f>
        <v/>
      </c>
      <c r="G27" s="37" t="str">
        <f>IF(ISBLANK(Charged!K27),"",Charged!K27)</f>
        <v/>
      </c>
      <c r="H27" s="35" t="str">
        <f t="shared" si="1"/>
        <v/>
      </c>
    </row>
    <row r="28" spans="1:8" s="9" customFormat="1" ht="139.5" customHeight="1">
      <c r="A28" s="35" t="str">
        <f t="shared" si="0"/>
        <v/>
      </c>
      <c r="B28" s="38" t="str">
        <f>IF(ISBLANK(Charged!B28),"",Charged!B28)</f>
        <v/>
      </c>
      <c r="C28" s="38" t="str">
        <f>IF(ISBLANK(Charged!C28),"",CONCATENATE(Charged!C28,", ",Charged!D28))</f>
        <v/>
      </c>
      <c r="D28" s="38" t="str">
        <f>IF(ISBLANK(Charged!E28),"",Charged!E28)</f>
        <v/>
      </c>
      <c r="E28" s="38" t="str">
        <f>IF(ISBLANK(Charged!F28),"",Charged!F28)</f>
        <v/>
      </c>
      <c r="F28" s="39" t="str">
        <f>IF(ISBLANK(Charged!H28),"",Charged!H28)</f>
        <v/>
      </c>
      <c r="G28" s="37" t="str">
        <f>IF(ISBLANK(Charged!K28),"",Charged!K28)</f>
        <v/>
      </c>
      <c r="H28" s="35" t="str">
        <f t="shared" si="1"/>
        <v/>
      </c>
    </row>
    <row r="29" spans="1:8" s="9" customFormat="1" ht="139.5" customHeight="1">
      <c r="A29" s="35" t="str">
        <f t="shared" si="0"/>
        <v/>
      </c>
      <c r="B29" s="38" t="str">
        <f>IF(ISBLANK(Charged!B29),"",Charged!B29)</f>
        <v/>
      </c>
      <c r="C29" s="38" t="str">
        <f>IF(ISBLANK(Charged!C29),"",CONCATENATE(Charged!C29,", ",Charged!D29))</f>
        <v/>
      </c>
      <c r="D29" s="38" t="str">
        <f>IF(ISBLANK(Charged!E29),"",Charged!E29)</f>
        <v/>
      </c>
      <c r="E29" s="38" t="str">
        <f>IF(ISBLANK(Charged!F29),"",Charged!F29)</f>
        <v/>
      </c>
      <c r="F29" s="39" t="str">
        <f>IF(ISBLANK(Charged!H29),"",Charged!H29)</f>
        <v/>
      </c>
      <c r="G29" s="37" t="str">
        <f>IF(ISBLANK(Charged!K29),"",Charged!K29)</f>
        <v/>
      </c>
      <c r="H29" s="35" t="str">
        <f t="shared" si="1"/>
        <v/>
      </c>
    </row>
    <row r="30" spans="1:8" s="9" customFormat="1" ht="139.5" customHeight="1">
      <c r="A30" s="35" t="str">
        <f t="shared" si="0"/>
        <v/>
      </c>
      <c r="B30" s="38" t="str">
        <f>IF(ISBLANK(Charged!B30),"",Charged!B30)</f>
        <v/>
      </c>
      <c r="C30" s="38" t="str">
        <f>IF(ISBLANK(Charged!C30),"",CONCATENATE(Charged!C30,", ",Charged!D30))</f>
        <v/>
      </c>
      <c r="D30" s="38" t="str">
        <f>IF(ISBLANK(Charged!E30),"",Charged!E30)</f>
        <v/>
      </c>
      <c r="E30" s="38" t="str">
        <f>IF(ISBLANK(Charged!F30),"",Charged!F30)</f>
        <v/>
      </c>
      <c r="F30" s="39" t="str">
        <f>IF(ISBLANK(Charged!H30),"",Charged!H30)</f>
        <v/>
      </c>
      <c r="G30" s="37" t="str">
        <f>IF(ISBLANK(Charged!K30),"",Charged!K30)</f>
        <v/>
      </c>
      <c r="H30" s="35" t="str">
        <f t="shared" si="1"/>
        <v/>
      </c>
    </row>
    <row r="31" spans="1:8" s="9" customFormat="1" ht="139.5" customHeight="1">
      <c r="A31" s="35" t="str">
        <f t="shared" si="0"/>
        <v/>
      </c>
      <c r="B31" s="38" t="str">
        <f>IF(ISBLANK(Charged!B31),"",Charged!B31)</f>
        <v/>
      </c>
      <c r="C31" s="38" t="str">
        <f>IF(ISBLANK(Charged!C31),"",CONCATENATE(Charged!C31,", ",Charged!D31))</f>
        <v/>
      </c>
      <c r="D31" s="38" t="str">
        <f>IF(ISBLANK(Charged!E31),"",Charged!E31)</f>
        <v/>
      </c>
      <c r="E31" s="38" t="str">
        <f>IF(ISBLANK(Charged!F31),"",Charged!F31)</f>
        <v/>
      </c>
      <c r="F31" s="39" t="str">
        <f>IF(ISBLANK(Charged!H31),"",Charged!H31)</f>
        <v/>
      </c>
      <c r="G31" s="37" t="str">
        <f>IF(ISBLANK(Charged!K31),"",Charged!K31)</f>
        <v/>
      </c>
      <c r="H31" s="35" t="str">
        <f t="shared" si="1"/>
        <v/>
      </c>
    </row>
    <row r="32" spans="1:8" s="9" customFormat="1" ht="139.5" customHeight="1">
      <c r="A32" s="35" t="str">
        <f t="shared" si="0"/>
        <v/>
      </c>
      <c r="B32" s="38" t="str">
        <f>IF(ISBLANK(Charged!B32),"",Charged!B32)</f>
        <v/>
      </c>
      <c r="C32" s="38" t="str">
        <f>IF(ISBLANK(Charged!C32),"",CONCATENATE(Charged!C32,", ",Charged!D32))</f>
        <v/>
      </c>
      <c r="D32" s="38" t="str">
        <f>IF(ISBLANK(Charged!E32),"",Charged!E32)</f>
        <v/>
      </c>
      <c r="E32" s="38" t="str">
        <f>IF(ISBLANK(Charged!F32),"",Charged!F32)</f>
        <v/>
      </c>
      <c r="F32" s="39" t="str">
        <f>IF(ISBLANK(Charged!H32),"",Charged!H32)</f>
        <v/>
      </c>
      <c r="G32" s="37" t="str">
        <f>IF(ISBLANK(Charged!K32),"",Charged!K32)</f>
        <v/>
      </c>
      <c r="H32" s="35" t="str">
        <f t="shared" si="1"/>
        <v/>
      </c>
    </row>
    <row r="33" spans="1:8" s="9" customFormat="1" ht="139.5" customHeight="1">
      <c r="A33" s="35" t="str">
        <f t="shared" si="0"/>
        <v/>
      </c>
      <c r="B33" s="38" t="str">
        <f>IF(ISBLANK(Charged!B33),"",Charged!B33)</f>
        <v/>
      </c>
      <c r="C33" s="38" t="str">
        <f>IF(ISBLANK(Charged!C33),"",CONCATENATE(Charged!C33,", ",Charged!D33))</f>
        <v/>
      </c>
      <c r="D33" s="38" t="str">
        <f>IF(ISBLANK(Charged!E33),"",Charged!E33)</f>
        <v/>
      </c>
      <c r="E33" s="38" t="str">
        <f>IF(ISBLANK(Charged!F33),"",Charged!F33)</f>
        <v/>
      </c>
      <c r="F33" s="39" t="str">
        <f>IF(ISBLANK(Charged!H33),"",Charged!H33)</f>
        <v/>
      </c>
      <c r="G33" s="37" t="str">
        <f>IF(ISBLANK(Charged!K33),"",Charged!K33)</f>
        <v/>
      </c>
      <c r="H33" s="35" t="str">
        <f t="shared" si="1"/>
        <v/>
      </c>
    </row>
    <row r="34" spans="1:8" s="9" customFormat="1" ht="139.5" customHeight="1">
      <c r="A34" s="35" t="str">
        <f t="shared" si="0"/>
        <v/>
      </c>
      <c r="B34" s="38" t="str">
        <f>IF(ISBLANK(Charged!B34),"",Charged!B34)</f>
        <v/>
      </c>
      <c r="C34" s="38" t="str">
        <f>IF(ISBLANK(Charged!C34),"",CONCATENATE(Charged!C34,", ",Charged!D34))</f>
        <v/>
      </c>
      <c r="D34" s="38" t="str">
        <f>IF(ISBLANK(Charged!E34),"",Charged!E34)</f>
        <v/>
      </c>
      <c r="E34" s="38" t="str">
        <f>IF(ISBLANK(Charged!F34),"",Charged!F34)</f>
        <v/>
      </c>
      <c r="F34" s="39" t="str">
        <f>IF(ISBLANK(Charged!H34),"",Charged!H34)</f>
        <v/>
      </c>
      <c r="G34" s="37" t="str">
        <f>IF(ISBLANK(Charged!K34),"",Charged!K34)</f>
        <v/>
      </c>
      <c r="H34" s="35" t="str">
        <f t="shared" si="1"/>
        <v/>
      </c>
    </row>
    <row r="35" spans="1:8" s="9" customFormat="1" ht="139.5" customHeight="1">
      <c r="A35" s="35" t="str">
        <f t="shared" si="0"/>
        <v/>
      </c>
      <c r="B35" s="38" t="str">
        <f>IF(ISBLANK(Charged!B35),"",Charged!B35)</f>
        <v/>
      </c>
      <c r="C35" s="38" t="str">
        <f>IF(ISBLANK(Charged!C35),"",CONCATENATE(Charged!C35,", ",Charged!D35))</f>
        <v/>
      </c>
      <c r="D35" s="38" t="str">
        <f>IF(ISBLANK(Charged!E35),"",Charged!E35)</f>
        <v/>
      </c>
      <c r="E35" s="38" t="str">
        <f>IF(ISBLANK(Charged!F35),"",Charged!F35)</f>
        <v/>
      </c>
      <c r="F35" s="39" t="str">
        <f>IF(ISBLANK(Charged!H35),"",Charged!H35)</f>
        <v/>
      </c>
      <c r="G35" s="37" t="str">
        <f>IF(ISBLANK(Charged!K35),"",Charged!K35)</f>
        <v/>
      </c>
      <c r="H35" s="35" t="str">
        <f t="shared" si="1"/>
        <v/>
      </c>
    </row>
    <row r="36" spans="1:8" s="9" customFormat="1" ht="139.5" customHeight="1">
      <c r="A36" s="35" t="str">
        <f t="shared" si="0"/>
        <v/>
      </c>
      <c r="B36" s="38" t="str">
        <f>IF(ISBLANK(Charged!B36),"",Charged!B36)</f>
        <v/>
      </c>
      <c r="C36" s="38" t="str">
        <f>IF(ISBLANK(Charged!C36),"",CONCATENATE(Charged!C36,", ",Charged!D36))</f>
        <v/>
      </c>
      <c r="D36" s="38" t="str">
        <f>IF(ISBLANK(Charged!E36),"",Charged!E36)</f>
        <v/>
      </c>
      <c r="E36" s="38" t="str">
        <f>IF(ISBLANK(Charged!F36),"",Charged!F36)</f>
        <v/>
      </c>
      <c r="F36" s="39" t="str">
        <f>IF(ISBLANK(Charged!H36),"",Charged!H36)</f>
        <v/>
      </c>
      <c r="G36" s="37" t="str">
        <f>IF(ISBLANK(Charged!K36),"",Charged!K36)</f>
        <v/>
      </c>
      <c r="H36" s="35" t="str">
        <f t="shared" si="1"/>
        <v/>
      </c>
    </row>
    <row r="37" spans="1:8" s="9" customFormat="1" ht="139.5" customHeight="1">
      <c r="A37" s="35" t="str">
        <f t="shared" si="0"/>
        <v/>
      </c>
      <c r="B37" s="38" t="str">
        <f>IF(ISBLANK(Charged!B37),"",Charged!B37)</f>
        <v/>
      </c>
      <c r="C37" s="38" t="str">
        <f>IF(ISBLANK(Charged!C37),"",CONCATENATE(Charged!C37,", ",Charged!D37))</f>
        <v/>
      </c>
      <c r="D37" s="38" t="str">
        <f>IF(ISBLANK(Charged!E37),"",Charged!E37)</f>
        <v/>
      </c>
      <c r="E37" s="38" t="str">
        <f>IF(ISBLANK(Charged!F37),"",Charged!F37)</f>
        <v/>
      </c>
      <c r="F37" s="39" t="str">
        <f>IF(ISBLANK(Charged!H37),"",Charged!H37)</f>
        <v/>
      </c>
      <c r="G37" s="37" t="str">
        <f>IF(ISBLANK(Charged!K37),"",Charged!K37)</f>
        <v/>
      </c>
      <c r="H37" s="35" t="str">
        <f t="shared" si="1"/>
        <v/>
      </c>
    </row>
    <row r="38" spans="1:8" s="9" customFormat="1" ht="139.5" customHeight="1">
      <c r="A38" s="35" t="str">
        <f t="shared" si="0"/>
        <v/>
      </c>
      <c r="B38" s="38" t="str">
        <f>IF(ISBLANK(Charged!B38),"",Charged!B38)</f>
        <v/>
      </c>
      <c r="C38" s="38" t="str">
        <f>IF(ISBLANK(Charged!C38),"",CONCATENATE(Charged!C38,", ",Charged!D38))</f>
        <v/>
      </c>
      <c r="D38" s="38" t="str">
        <f>IF(ISBLANK(Charged!E38),"",Charged!E38)</f>
        <v/>
      </c>
      <c r="E38" s="38" t="str">
        <f>IF(ISBLANK(Charged!F38),"",Charged!F38)</f>
        <v/>
      </c>
      <c r="F38" s="39" t="str">
        <f>IF(ISBLANK(Charged!H38),"",Charged!H38)</f>
        <v/>
      </c>
      <c r="G38" s="37" t="str">
        <f>IF(ISBLANK(Charged!K38),"",Charged!K38)</f>
        <v/>
      </c>
      <c r="H38" s="35" t="str">
        <f t="shared" si="1"/>
        <v/>
      </c>
    </row>
    <row r="39" spans="1:8" s="9" customFormat="1" ht="139.5" customHeight="1">
      <c r="A39" s="35" t="str">
        <f t="shared" si="0"/>
        <v/>
      </c>
      <c r="B39" s="38" t="str">
        <f>IF(ISBLANK(Charged!B39),"",Charged!B39)</f>
        <v/>
      </c>
      <c r="C39" s="38" t="str">
        <f>IF(ISBLANK(Charged!C39),"",CONCATENATE(Charged!C39,", ",Charged!D39))</f>
        <v/>
      </c>
      <c r="D39" s="38" t="str">
        <f>IF(ISBLANK(Charged!E39),"",Charged!E39)</f>
        <v/>
      </c>
      <c r="E39" s="38" t="str">
        <f>IF(ISBLANK(Charged!F39),"",Charged!F39)</f>
        <v/>
      </c>
      <c r="F39" s="39" t="str">
        <f>IF(ISBLANK(Charged!H39),"",Charged!H39)</f>
        <v/>
      </c>
      <c r="G39" s="37" t="str">
        <f>IF(ISBLANK(Charged!K39),"",Charged!K39)</f>
        <v/>
      </c>
      <c r="H39" s="35" t="str">
        <f t="shared" si="1"/>
        <v/>
      </c>
    </row>
    <row r="40" spans="1:8" s="9" customFormat="1" ht="139.5" customHeight="1">
      <c r="A40" s="35" t="str">
        <f t="shared" si="0"/>
        <v/>
      </c>
      <c r="B40" s="38" t="str">
        <f>IF(ISBLANK(Charged!B40),"",Charged!B40)</f>
        <v/>
      </c>
      <c r="C40" s="38" t="str">
        <f>IF(ISBLANK(Charged!C40),"",CONCATENATE(Charged!C40,", ",Charged!D40))</f>
        <v/>
      </c>
      <c r="D40" s="38" t="str">
        <f>IF(ISBLANK(Charged!E40),"",Charged!E40)</f>
        <v/>
      </c>
      <c r="E40" s="38" t="str">
        <f>IF(ISBLANK(Charged!F40),"",Charged!F40)</f>
        <v/>
      </c>
      <c r="F40" s="39" t="str">
        <f>IF(ISBLANK(Charged!H40),"",Charged!H40)</f>
        <v/>
      </c>
      <c r="G40" s="37" t="str">
        <f>IF(ISBLANK(Charged!K40),"",Charged!K40)</f>
        <v/>
      </c>
      <c r="H40" s="35" t="str">
        <f t="shared" si="1"/>
        <v/>
      </c>
    </row>
    <row r="41" spans="1:8" s="9" customFormat="1" ht="139.5" customHeight="1">
      <c r="A41" s="35" t="str">
        <f t="shared" si="0"/>
        <v/>
      </c>
      <c r="B41" s="38" t="str">
        <f>IF(ISBLANK(Charged!B41),"",Charged!B41)</f>
        <v/>
      </c>
      <c r="C41" s="38" t="str">
        <f>IF(ISBLANK(Charged!C41),"",CONCATENATE(Charged!C41,", ",Charged!D41))</f>
        <v/>
      </c>
      <c r="D41" s="38" t="str">
        <f>IF(ISBLANK(Charged!E41),"",Charged!E41)</f>
        <v/>
      </c>
      <c r="E41" s="38" t="str">
        <f>IF(ISBLANK(Charged!F41),"",Charged!F41)</f>
        <v/>
      </c>
      <c r="F41" s="39" t="str">
        <f>IF(ISBLANK(Charged!H41),"",Charged!H41)</f>
        <v/>
      </c>
      <c r="G41" s="37" t="str">
        <f>IF(ISBLANK(Charged!K41),"",Charged!K41)</f>
        <v/>
      </c>
      <c r="H41" s="35" t="str">
        <f t="shared" si="1"/>
        <v/>
      </c>
    </row>
    <row r="42" spans="1:8" s="9" customFormat="1" ht="139.5" customHeight="1">
      <c r="A42" s="35" t="str">
        <f t="shared" si="0"/>
        <v/>
      </c>
      <c r="B42" s="38" t="str">
        <f>IF(ISBLANK(Charged!B42),"",Charged!B42)</f>
        <v/>
      </c>
      <c r="C42" s="38" t="str">
        <f>IF(ISBLANK(Charged!C42),"",CONCATENATE(Charged!C42,", ",Charged!D42))</f>
        <v/>
      </c>
      <c r="D42" s="38" t="str">
        <f>IF(ISBLANK(Charged!E42),"",Charged!E42)</f>
        <v/>
      </c>
      <c r="E42" s="38" t="str">
        <f>IF(ISBLANK(Charged!F42),"",Charged!F42)</f>
        <v/>
      </c>
      <c r="F42" s="39" t="str">
        <f>IF(ISBLANK(Charged!H42),"",Charged!H42)</f>
        <v/>
      </c>
      <c r="G42" s="37" t="str">
        <f>IF(ISBLANK(Charged!K42),"",Charged!K42)</f>
        <v/>
      </c>
      <c r="H42" s="35" t="str">
        <f t="shared" si="1"/>
        <v/>
      </c>
    </row>
    <row r="43" spans="1:8" s="9" customFormat="1" ht="139.5" customHeight="1">
      <c r="A43" s="35" t="str">
        <f t="shared" si="0"/>
        <v/>
      </c>
      <c r="B43" s="38" t="str">
        <f>IF(ISBLANK(Charged!B43),"",Charged!B43)</f>
        <v/>
      </c>
      <c r="C43" s="38" t="str">
        <f>IF(ISBLANK(Charged!C43),"",CONCATENATE(Charged!C43,", ",Charged!D43))</f>
        <v/>
      </c>
      <c r="D43" s="38" t="str">
        <f>IF(ISBLANK(Charged!E43),"",Charged!E43)</f>
        <v/>
      </c>
      <c r="E43" s="38" t="str">
        <f>IF(ISBLANK(Charged!F43),"",Charged!F43)</f>
        <v/>
      </c>
      <c r="F43" s="39" t="str">
        <f>IF(ISBLANK(Charged!H43),"",Charged!H43)</f>
        <v/>
      </c>
      <c r="G43" s="37" t="str">
        <f>IF(ISBLANK(Charged!K43),"",Charged!K43)</f>
        <v/>
      </c>
      <c r="H43" s="35" t="str">
        <f t="shared" si="1"/>
        <v/>
      </c>
    </row>
    <row r="44" spans="1:8" s="9" customFormat="1" ht="139.5" customHeight="1">
      <c r="A44" s="35" t="str">
        <f t="shared" si="0"/>
        <v/>
      </c>
      <c r="B44" s="38" t="str">
        <f>IF(ISBLANK(Charged!B44),"",Charged!B44)</f>
        <v/>
      </c>
      <c r="C44" s="38" t="str">
        <f>IF(ISBLANK(Charged!C44),"",CONCATENATE(Charged!C44,", ",Charged!D44))</f>
        <v/>
      </c>
      <c r="D44" s="38" t="str">
        <f>IF(ISBLANK(Charged!E44),"",Charged!E44)</f>
        <v/>
      </c>
      <c r="E44" s="38" t="str">
        <f>IF(ISBLANK(Charged!F44),"",Charged!F44)</f>
        <v/>
      </c>
      <c r="F44" s="39" t="str">
        <f>IF(ISBLANK(Charged!H44),"",Charged!H44)</f>
        <v/>
      </c>
      <c r="G44" s="37" t="str">
        <f>IF(ISBLANK(Charged!K44),"",Charged!K44)</f>
        <v/>
      </c>
      <c r="H44" s="35" t="str">
        <f t="shared" si="1"/>
        <v/>
      </c>
    </row>
    <row r="45" spans="1:8" s="9" customFormat="1" ht="139.5" customHeight="1">
      <c r="A45" s="35" t="str">
        <f t="shared" si="0"/>
        <v/>
      </c>
      <c r="B45" s="38" t="str">
        <f>IF(ISBLANK(Charged!B45),"",Charged!B45)</f>
        <v/>
      </c>
      <c r="C45" s="38" t="str">
        <f>IF(ISBLANK(Charged!C45),"",CONCATENATE(Charged!C45,", ",Charged!D45))</f>
        <v/>
      </c>
      <c r="D45" s="38" t="str">
        <f>IF(ISBLANK(Charged!E45),"",Charged!E45)</f>
        <v/>
      </c>
      <c r="E45" s="38" t="str">
        <f>IF(ISBLANK(Charged!F45),"",Charged!F45)</f>
        <v/>
      </c>
      <c r="F45" s="39" t="str">
        <f>IF(ISBLANK(Charged!H45),"",Charged!H45)</f>
        <v/>
      </c>
      <c r="G45" s="37" t="str">
        <f>IF(ISBLANK(Charged!K45),"",Charged!K45)</f>
        <v/>
      </c>
      <c r="H45" s="35" t="str">
        <f t="shared" si="1"/>
        <v/>
      </c>
    </row>
    <row r="46" spans="1:8" s="9" customFormat="1" ht="139.5" customHeight="1">
      <c r="A46" s="35" t="str">
        <f t="shared" si="0"/>
        <v/>
      </c>
      <c r="B46" s="38" t="str">
        <f>IF(ISBLANK(Charged!B46),"",Charged!B46)</f>
        <v/>
      </c>
      <c r="C46" s="38" t="str">
        <f>IF(ISBLANK(Charged!C46),"",CONCATENATE(Charged!C46,", ",Charged!D46))</f>
        <v/>
      </c>
      <c r="D46" s="38" t="str">
        <f>IF(ISBLANK(Charged!E46),"",Charged!E46)</f>
        <v/>
      </c>
      <c r="E46" s="38" t="str">
        <f>IF(ISBLANK(Charged!F46),"",Charged!F46)</f>
        <v/>
      </c>
      <c r="F46" s="39" t="str">
        <f>IF(ISBLANK(Charged!H46),"",Charged!H46)</f>
        <v/>
      </c>
      <c r="G46" s="37" t="str">
        <f>IF(ISBLANK(Charged!K46),"",Charged!K46)</f>
        <v/>
      </c>
      <c r="H46" s="35" t="str">
        <f t="shared" si="1"/>
        <v/>
      </c>
    </row>
    <row r="47" spans="1:8" s="9" customFormat="1" ht="139.5" customHeight="1">
      <c r="A47" s="35" t="str">
        <f t="shared" si="0"/>
        <v/>
      </c>
      <c r="B47" s="38" t="str">
        <f>IF(ISBLANK(Charged!B47),"",Charged!B47)</f>
        <v/>
      </c>
      <c r="C47" s="38" t="str">
        <f>IF(ISBLANK(Charged!C47),"",CONCATENATE(Charged!C47,", ",Charged!D47))</f>
        <v/>
      </c>
      <c r="D47" s="38" t="str">
        <f>IF(ISBLANK(Charged!E47),"",Charged!E47)</f>
        <v/>
      </c>
      <c r="E47" s="38" t="str">
        <f>IF(ISBLANK(Charged!F47),"",Charged!F47)</f>
        <v/>
      </c>
      <c r="F47" s="39" t="str">
        <f>IF(ISBLANK(Charged!H47),"",Charged!H47)</f>
        <v/>
      </c>
      <c r="G47" s="37" t="str">
        <f>IF(ISBLANK(Charged!K47),"",Charged!K47)</f>
        <v/>
      </c>
      <c r="H47" s="35" t="str">
        <f t="shared" si="1"/>
        <v/>
      </c>
    </row>
    <row r="48" spans="1:8" s="9" customFormat="1" ht="139.5" customHeight="1">
      <c r="A48" s="35" t="str">
        <f t="shared" si="0"/>
        <v/>
      </c>
      <c r="B48" s="38" t="str">
        <f>IF(ISBLANK(Charged!B48),"",Charged!B48)</f>
        <v/>
      </c>
      <c r="C48" s="38" t="str">
        <f>IF(ISBLANK(Charged!C48),"",CONCATENATE(Charged!C48,", ",Charged!D48))</f>
        <v/>
      </c>
      <c r="D48" s="38" t="str">
        <f>IF(ISBLANK(Charged!E48),"",Charged!E48)</f>
        <v/>
      </c>
      <c r="E48" s="38" t="str">
        <f>IF(ISBLANK(Charged!F48),"",Charged!F48)</f>
        <v/>
      </c>
      <c r="F48" s="39" t="str">
        <f>IF(ISBLANK(Charged!H48),"",Charged!H48)</f>
        <v/>
      </c>
      <c r="G48" s="37" t="str">
        <f>IF(ISBLANK(Charged!K48),"",Charged!K48)</f>
        <v/>
      </c>
      <c r="H48" s="35" t="str">
        <f t="shared" si="1"/>
        <v/>
      </c>
    </row>
    <row r="49" spans="1:8" s="9" customFormat="1" ht="139.5" customHeight="1">
      <c r="A49" s="35" t="str">
        <f t="shared" si="0"/>
        <v/>
      </c>
      <c r="B49" s="38" t="str">
        <f>IF(ISBLANK(Charged!B49),"",Charged!B49)</f>
        <v/>
      </c>
      <c r="C49" s="38" t="str">
        <f>IF(ISBLANK(Charged!C49),"",CONCATENATE(Charged!C49,", ",Charged!D49))</f>
        <v/>
      </c>
      <c r="D49" s="38" t="str">
        <f>IF(ISBLANK(Charged!E49),"",Charged!E49)</f>
        <v/>
      </c>
      <c r="E49" s="38" t="str">
        <f>IF(ISBLANK(Charged!F49),"",Charged!F49)</f>
        <v/>
      </c>
      <c r="F49" s="39" t="str">
        <f>IF(ISBLANK(Charged!H49),"",Charged!H49)</f>
        <v/>
      </c>
      <c r="G49" s="37" t="str">
        <f>IF(ISBLANK(Charged!K49),"",Charged!K49)</f>
        <v/>
      </c>
      <c r="H49" s="35" t="str">
        <f t="shared" si="1"/>
        <v/>
      </c>
    </row>
    <row r="50" spans="1:8" s="9" customFormat="1" ht="139.5" customHeight="1">
      <c r="A50" s="35" t="str">
        <f t="shared" si="0"/>
        <v/>
      </c>
      <c r="B50" s="38" t="str">
        <f>IF(ISBLANK(Charged!B50),"",Charged!B50)</f>
        <v/>
      </c>
      <c r="C50" s="38" t="str">
        <f>IF(ISBLANK(Charged!C50),"",CONCATENATE(Charged!C50,", ",Charged!D50))</f>
        <v/>
      </c>
      <c r="D50" s="38" t="str">
        <f>IF(ISBLANK(Charged!E50),"",Charged!E50)</f>
        <v/>
      </c>
      <c r="E50" s="38" t="str">
        <f>IF(ISBLANK(Charged!F50),"",Charged!F50)</f>
        <v/>
      </c>
      <c r="F50" s="39" t="str">
        <f>IF(ISBLANK(Charged!H50),"",Charged!H50)</f>
        <v/>
      </c>
      <c r="G50" s="37" t="str">
        <f>IF(ISBLANK(Charged!K50),"",Charged!K50)</f>
        <v/>
      </c>
      <c r="H50" s="35" t="str">
        <f t="shared" si="1"/>
        <v/>
      </c>
    </row>
    <row r="51" spans="1:8" s="9" customFormat="1" ht="139.5" customHeight="1">
      <c r="A51" s="35" t="str">
        <f t="shared" si="0"/>
        <v/>
      </c>
      <c r="B51" s="38" t="str">
        <f>IF(ISBLANK(Charged!B51),"",Charged!B51)</f>
        <v/>
      </c>
      <c r="C51" s="38" t="str">
        <f>IF(ISBLANK(Charged!C51),"",CONCATENATE(Charged!C51,", ",Charged!D51))</f>
        <v/>
      </c>
      <c r="D51" s="38" t="str">
        <f>IF(ISBLANK(Charged!E51),"",Charged!E51)</f>
        <v/>
      </c>
      <c r="E51" s="38" t="str">
        <f>IF(ISBLANK(Charged!F51),"",Charged!F51)</f>
        <v/>
      </c>
      <c r="F51" s="39" t="str">
        <f>IF(ISBLANK(Charged!H51),"",Charged!H51)</f>
        <v/>
      </c>
      <c r="G51" s="37" t="str">
        <f>IF(ISBLANK(Charged!K51),"",Charged!K51)</f>
        <v/>
      </c>
      <c r="H51" s="35" t="str">
        <f t="shared" si="1"/>
        <v/>
      </c>
    </row>
    <row r="52" spans="1:8" s="9" customFormat="1" ht="139.5" customHeight="1">
      <c r="A52" s="35" t="str">
        <f t="shared" si="0"/>
        <v/>
      </c>
      <c r="B52" s="38" t="str">
        <f>IF(ISBLANK(Charged!B52),"",Charged!B52)</f>
        <v/>
      </c>
      <c r="C52" s="38" t="str">
        <f>IF(ISBLANK(Charged!C52),"",CONCATENATE(Charged!C52,", ",Charged!D52))</f>
        <v/>
      </c>
      <c r="D52" s="38" t="str">
        <f>IF(ISBLANK(Charged!E52),"",Charged!E52)</f>
        <v/>
      </c>
      <c r="E52" s="38" t="str">
        <f>IF(ISBLANK(Charged!F52),"",Charged!F52)</f>
        <v/>
      </c>
      <c r="F52" s="39" t="str">
        <f>IF(ISBLANK(Charged!H52),"",Charged!H52)</f>
        <v/>
      </c>
      <c r="G52" s="37" t="str">
        <f>IF(ISBLANK(Charged!K52),"",Charged!K52)</f>
        <v/>
      </c>
      <c r="H52" s="35" t="str">
        <f t="shared" si="1"/>
        <v/>
      </c>
    </row>
    <row r="53" spans="1:8" s="9" customFormat="1" ht="139.5" customHeight="1">
      <c r="A53" s="35" t="str">
        <f t="shared" si="0"/>
        <v/>
      </c>
      <c r="B53" s="38" t="str">
        <f>IF(ISBLANK(Charged!B53),"",Charged!B53)</f>
        <v/>
      </c>
      <c r="C53" s="38" t="str">
        <f>IF(ISBLANK(Charged!C53),"",CONCATENATE(Charged!C53,", ",Charged!D53))</f>
        <v/>
      </c>
      <c r="D53" s="38" t="str">
        <f>IF(ISBLANK(Charged!E53),"",Charged!E53)</f>
        <v/>
      </c>
      <c r="E53" s="38" t="str">
        <f>IF(ISBLANK(Charged!F53),"",Charged!F53)</f>
        <v/>
      </c>
      <c r="F53" s="39" t="str">
        <f>IF(ISBLANK(Charged!H53),"",Charged!H53)</f>
        <v/>
      </c>
      <c r="G53" s="37" t="str">
        <f>IF(ISBLANK(Charged!K53),"",Charged!K53)</f>
        <v/>
      </c>
      <c r="H53" s="35" t="str">
        <f t="shared" si="1"/>
        <v/>
      </c>
    </row>
    <row r="54" spans="1:8" s="9" customFormat="1" ht="139.5" customHeight="1">
      <c r="A54" s="35" t="str">
        <f t="shared" si="0"/>
        <v/>
      </c>
      <c r="B54" s="38" t="str">
        <f>IF(ISBLANK(Charged!B54),"",Charged!B54)</f>
        <v/>
      </c>
      <c r="C54" s="38" t="str">
        <f>IF(ISBLANK(Charged!C54),"",CONCATENATE(Charged!C54,", ",Charged!D54))</f>
        <v/>
      </c>
      <c r="D54" s="38" t="str">
        <f>IF(ISBLANK(Charged!E54),"",Charged!E54)</f>
        <v/>
      </c>
      <c r="E54" s="38" t="str">
        <f>IF(ISBLANK(Charged!F54),"",Charged!F54)</f>
        <v/>
      </c>
      <c r="F54" s="39" t="str">
        <f>IF(ISBLANK(Charged!H54),"",Charged!H54)</f>
        <v/>
      </c>
      <c r="G54" s="37" t="str">
        <f>IF(ISBLANK(Charged!K54),"",Charged!K54)</f>
        <v/>
      </c>
      <c r="H54" s="35" t="str">
        <f t="shared" si="1"/>
        <v/>
      </c>
    </row>
    <row r="55" spans="1:8" s="9" customFormat="1" ht="139.5" customHeight="1">
      <c r="A55" s="35" t="str">
        <f t="shared" si="0"/>
        <v/>
      </c>
      <c r="B55" s="38" t="str">
        <f>IF(ISBLANK(Charged!B55),"",Charged!B55)</f>
        <v/>
      </c>
      <c r="C55" s="38" t="str">
        <f>IF(ISBLANK(Charged!C55),"",CONCATENATE(Charged!C55,", ",Charged!D55))</f>
        <v/>
      </c>
      <c r="D55" s="38" t="str">
        <f>IF(ISBLANK(Charged!E55),"",Charged!E55)</f>
        <v/>
      </c>
      <c r="E55" s="38" t="str">
        <f>IF(ISBLANK(Charged!F55),"",Charged!F55)</f>
        <v/>
      </c>
      <c r="F55" s="39" t="str">
        <f>IF(ISBLANK(Charged!H55),"",Charged!H55)</f>
        <v/>
      </c>
      <c r="G55" s="37" t="str">
        <f>IF(ISBLANK(Charged!K55),"",Charged!K55)</f>
        <v/>
      </c>
      <c r="H55" s="35" t="str">
        <f t="shared" si="1"/>
        <v/>
      </c>
    </row>
    <row r="56" spans="1:8" s="9" customFormat="1" ht="139.5" customHeight="1">
      <c r="A56" s="35" t="str">
        <f t="shared" si="0"/>
        <v/>
      </c>
      <c r="B56" s="38" t="str">
        <f>IF(ISBLANK(Charged!B56),"",Charged!B56)</f>
        <v/>
      </c>
      <c r="C56" s="38" t="str">
        <f>IF(ISBLANK(Charged!C56),"",CONCATENATE(Charged!C56,", ",Charged!D56))</f>
        <v/>
      </c>
      <c r="D56" s="38" t="str">
        <f>IF(ISBLANK(Charged!E56),"",Charged!E56)</f>
        <v/>
      </c>
      <c r="E56" s="38" t="str">
        <f>IF(ISBLANK(Charged!F56),"",Charged!F56)</f>
        <v/>
      </c>
      <c r="F56" s="39" t="str">
        <f>IF(ISBLANK(Charged!H56),"",Charged!H56)</f>
        <v/>
      </c>
      <c r="G56" s="37" t="str">
        <f>IF(ISBLANK(Charged!K56),"",Charged!K56)</f>
        <v/>
      </c>
      <c r="H56" s="35" t="str">
        <f t="shared" si="1"/>
        <v/>
      </c>
    </row>
    <row r="57" spans="1:8" s="9" customFormat="1" ht="139.5" customHeight="1">
      <c r="A57" s="35" t="str">
        <f t="shared" si="0"/>
        <v/>
      </c>
      <c r="B57" s="38" t="str">
        <f>IF(ISBLANK(Charged!B57),"",Charged!B57)</f>
        <v/>
      </c>
      <c r="C57" s="38" t="str">
        <f>IF(ISBLANK(Charged!C57),"",CONCATENATE(Charged!C57,", ",Charged!D57))</f>
        <v/>
      </c>
      <c r="D57" s="38" t="str">
        <f>IF(ISBLANK(Charged!E57),"",Charged!E57)</f>
        <v/>
      </c>
      <c r="E57" s="38" t="str">
        <f>IF(ISBLANK(Charged!F57),"",Charged!F57)</f>
        <v/>
      </c>
      <c r="F57" s="39" t="str">
        <f>IF(ISBLANK(Charged!H57),"",Charged!H57)</f>
        <v/>
      </c>
      <c r="G57" s="37" t="str">
        <f>IF(ISBLANK(Charged!K57),"",Charged!K57)</f>
        <v/>
      </c>
      <c r="H57" s="35" t="str">
        <f t="shared" si="1"/>
        <v/>
      </c>
    </row>
    <row r="58" spans="1:8" s="9" customFormat="1" ht="139.5" customHeight="1">
      <c r="A58" s="35" t="str">
        <f t="shared" si="0"/>
        <v/>
      </c>
      <c r="B58" s="38" t="str">
        <f>IF(ISBLANK(Charged!B58),"",Charged!B58)</f>
        <v/>
      </c>
      <c r="C58" s="38" t="str">
        <f>IF(ISBLANK(Charged!C58),"",CONCATENATE(Charged!C58,", ",Charged!D58))</f>
        <v/>
      </c>
      <c r="D58" s="38" t="str">
        <f>IF(ISBLANK(Charged!E58),"",Charged!E58)</f>
        <v/>
      </c>
      <c r="E58" s="38" t="str">
        <f>IF(ISBLANK(Charged!F58),"",Charged!F58)</f>
        <v/>
      </c>
      <c r="F58" s="39" t="str">
        <f>IF(ISBLANK(Charged!H58),"",Charged!H58)</f>
        <v/>
      </c>
      <c r="G58" s="37" t="str">
        <f>IF(ISBLANK(Charged!K58),"",Charged!K58)</f>
        <v/>
      </c>
      <c r="H58" s="35" t="str">
        <f t="shared" si="1"/>
        <v/>
      </c>
    </row>
    <row r="59" spans="1:8" s="9" customFormat="1" ht="139.5" customHeight="1">
      <c r="A59" s="35" t="str">
        <f t="shared" si="0"/>
        <v/>
      </c>
      <c r="B59" s="38" t="str">
        <f>IF(ISBLANK(Charged!B59),"",Charged!B59)</f>
        <v/>
      </c>
      <c r="C59" s="38" t="str">
        <f>IF(ISBLANK(Charged!C59),"",CONCATENATE(Charged!C59,", ",Charged!D59))</f>
        <v/>
      </c>
      <c r="D59" s="38" t="str">
        <f>IF(ISBLANK(Charged!E59),"",Charged!E59)</f>
        <v/>
      </c>
      <c r="E59" s="38" t="str">
        <f>IF(ISBLANK(Charged!F59),"",Charged!F59)</f>
        <v/>
      </c>
      <c r="F59" s="39" t="str">
        <f>IF(ISBLANK(Charged!H59),"",Charged!H59)</f>
        <v/>
      </c>
      <c r="G59" s="37" t="str">
        <f>IF(ISBLANK(Charged!K59),"",Charged!K59)</f>
        <v/>
      </c>
      <c r="H59" s="35" t="str">
        <f t="shared" si="1"/>
        <v/>
      </c>
    </row>
    <row r="60" spans="1:8" s="9" customFormat="1" ht="139.5" customHeight="1">
      <c r="A60" s="35" t="str">
        <f t="shared" si="0"/>
        <v/>
      </c>
      <c r="B60" s="38" t="str">
        <f>IF(ISBLANK(Charged!B60),"",Charged!B60)</f>
        <v/>
      </c>
      <c r="C60" s="38" t="str">
        <f>IF(ISBLANK(Charged!C60),"",CONCATENATE(Charged!C60,", ",Charged!D60))</f>
        <v/>
      </c>
      <c r="D60" s="38" t="str">
        <f>IF(ISBLANK(Charged!E60),"",Charged!E60)</f>
        <v/>
      </c>
      <c r="E60" s="38" t="str">
        <f>IF(ISBLANK(Charged!F60),"",Charged!F60)</f>
        <v/>
      </c>
      <c r="F60" s="39" t="str">
        <f>IF(ISBLANK(Charged!H60),"",Charged!H60)</f>
        <v/>
      </c>
      <c r="G60" s="37" t="str">
        <f>IF(ISBLANK(Charged!K60),"",Charged!K60)</f>
        <v/>
      </c>
      <c r="H60" s="35" t="str">
        <f t="shared" si="1"/>
        <v/>
      </c>
    </row>
    <row r="61" spans="1:8" s="9" customFormat="1" ht="139.5" customHeight="1">
      <c r="A61" s="35" t="str">
        <f t="shared" si="0"/>
        <v/>
      </c>
      <c r="B61" s="38" t="str">
        <f>IF(ISBLANK(Charged!B61),"",Charged!B61)</f>
        <v/>
      </c>
      <c r="C61" s="38" t="str">
        <f>IF(ISBLANK(Charged!C61),"",CONCATENATE(Charged!C61,", ",Charged!D61))</f>
        <v/>
      </c>
      <c r="D61" s="38" t="str">
        <f>IF(ISBLANK(Charged!E61),"",Charged!E61)</f>
        <v/>
      </c>
      <c r="E61" s="38" t="str">
        <f>IF(ISBLANK(Charged!F61),"",Charged!F61)</f>
        <v/>
      </c>
      <c r="F61" s="39" t="str">
        <f>IF(ISBLANK(Charged!H61),"",Charged!H61)</f>
        <v/>
      </c>
      <c r="G61" s="37" t="str">
        <f>IF(ISBLANK(Charged!K61),"",Charged!K61)</f>
        <v/>
      </c>
      <c r="H61" s="35" t="str">
        <f t="shared" si="1"/>
        <v/>
      </c>
    </row>
    <row r="62" spans="1:8" s="9" customFormat="1" ht="139.5" customHeight="1">
      <c r="A62" s="35" t="str">
        <f t="shared" si="0"/>
        <v/>
      </c>
      <c r="B62" s="38" t="str">
        <f>IF(ISBLANK(Charged!B62),"",Charged!B62)</f>
        <v/>
      </c>
      <c r="C62" s="38" t="str">
        <f>IF(ISBLANK(Charged!C62),"",CONCATENATE(Charged!C62,", ",Charged!D62))</f>
        <v/>
      </c>
      <c r="D62" s="38" t="str">
        <f>IF(ISBLANK(Charged!E62),"",Charged!E62)</f>
        <v/>
      </c>
      <c r="E62" s="38" t="str">
        <f>IF(ISBLANK(Charged!F62),"",Charged!F62)</f>
        <v/>
      </c>
      <c r="F62" s="39" t="str">
        <f>IF(ISBLANK(Charged!H62),"",Charged!H62)</f>
        <v/>
      </c>
      <c r="G62" s="37" t="str">
        <f>IF(ISBLANK(Charged!K62),"",Charged!K62)</f>
        <v/>
      </c>
      <c r="H62" s="35" t="str">
        <f t="shared" si="1"/>
        <v/>
      </c>
    </row>
    <row r="63" spans="1:8" s="9" customFormat="1" ht="139.5" customHeight="1">
      <c r="A63" s="35" t="str">
        <f t="shared" si="0"/>
        <v/>
      </c>
      <c r="B63" s="38" t="str">
        <f>IF(ISBLANK(Charged!B63),"",Charged!B63)</f>
        <v/>
      </c>
      <c r="C63" s="38" t="str">
        <f>IF(ISBLANK(Charged!C63),"",CONCATENATE(Charged!C63,", ",Charged!D63))</f>
        <v/>
      </c>
      <c r="D63" s="38" t="str">
        <f>IF(ISBLANK(Charged!E63),"",Charged!E63)</f>
        <v/>
      </c>
      <c r="E63" s="38" t="str">
        <f>IF(ISBLANK(Charged!F63),"",Charged!F63)</f>
        <v/>
      </c>
      <c r="F63" s="39" t="str">
        <f>IF(ISBLANK(Charged!H63),"",Charged!H63)</f>
        <v/>
      </c>
      <c r="G63" s="37" t="str">
        <f>IF(ISBLANK(Charged!K63),"",Charged!K63)</f>
        <v/>
      </c>
      <c r="H63" s="35" t="str">
        <f t="shared" si="1"/>
        <v/>
      </c>
    </row>
    <row r="64" spans="1:8" s="9" customFormat="1" ht="139.5" customHeight="1">
      <c r="A64" s="35" t="str">
        <f t="shared" si="0"/>
        <v/>
      </c>
      <c r="B64" s="38" t="str">
        <f>IF(ISBLANK(Charged!B64),"",Charged!B64)</f>
        <v/>
      </c>
      <c r="C64" s="38" t="str">
        <f>IF(ISBLANK(Charged!C64),"",CONCATENATE(Charged!C64,", ",Charged!D64))</f>
        <v/>
      </c>
      <c r="D64" s="38" t="str">
        <f>IF(ISBLANK(Charged!E64),"",Charged!E64)</f>
        <v/>
      </c>
      <c r="E64" s="38" t="str">
        <f>IF(ISBLANK(Charged!F64),"",Charged!F64)</f>
        <v/>
      </c>
      <c r="F64" s="39" t="str">
        <f>IF(ISBLANK(Charged!H64),"",Charged!H64)</f>
        <v/>
      </c>
      <c r="G64" s="37" t="str">
        <f>IF(ISBLANK(Charged!K64),"",Charged!K64)</f>
        <v/>
      </c>
      <c r="H64" s="35" t="str">
        <f t="shared" si="1"/>
        <v/>
      </c>
    </row>
    <row r="65" spans="1:8" s="9" customFormat="1" ht="139.5" customHeight="1">
      <c r="A65" s="35" t="str">
        <f t="shared" si="0"/>
        <v/>
      </c>
      <c r="B65" s="38" t="str">
        <f>IF(ISBLANK(Charged!B65),"",Charged!B65)</f>
        <v/>
      </c>
      <c r="C65" s="38" t="str">
        <f>IF(ISBLANK(Charged!C65),"",CONCATENATE(Charged!C65,", ",Charged!D65))</f>
        <v/>
      </c>
      <c r="D65" s="38" t="str">
        <f>IF(ISBLANK(Charged!E65),"",Charged!E65)</f>
        <v/>
      </c>
      <c r="E65" s="38" t="str">
        <f>IF(ISBLANK(Charged!F65),"",Charged!F65)</f>
        <v/>
      </c>
      <c r="F65" s="39" t="str">
        <f>IF(ISBLANK(Charged!H65),"",Charged!H65)</f>
        <v/>
      </c>
      <c r="G65" s="37" t="str">
        <f>IF(ISBLANK(Charged!K65),"",Charged!K65)</f>
        <v/>
      </c>
      <c r="H65" s="35" t="str">
        <f t="shared" si="1"/>
        <v/>
      </c>
    </row>
    <row r="66" spans="1:8" s="9" customFormat="1" ht="139.5" customHeight="1">
      <c r="A66" s="35" t="str">
        <f t="shared" si="0"/>
        <v/>
      </c>
      <c r="B66" s="38" t="str">
        <f>IF(ISBLANK(Charged!B66),"",Charged!B66)</f>
        <v/>
      </c>
      <c r="C66" s="38" t="str">
        <f>IF(ISBLANK(Charged!C66),"",CONCATENATE(Charged!C66,", ",Charged!D66))</f>
        <v/>
      </c>
      <c r="D66" s="38" t="str">
        <f>IF(ISBLANK(Charged!E66),"",Charged!E66)</f>
        <v/>
      </c>
      <c r="E66" s="38" t="str">
        <f>IF(ISBLANK(Charged!F66),"",Charged!F66)</f>
        <v/>
      </c>
      <c r="F66" s="39" t="str">
        <f>IF(ISBLANK(Charged!H66),"",Charged!H66)</f>
        <v/>
      </c>
      <c r="G66" s="37" t="str">
        <f>IF(ISBLANK(Charged!K66),"",Charged!K66)</f>
        <v/>
      </c>
      <c r="H66" s="35" t="str">
        <f t="shared" si="1"/>
        <v/>
      </c>
    </row>
    <row r="67" spans="1:8" s="9" customFormat="1" ht="139.5" customHeight="1">
      <c r="A67" s="35" t="str">
        <f t="shared" ref="A67:A130" si="2">IF(B67="","",CONCATENATE("*",B67,"*"))</f>
        <v/>
      </c>
      <c r="B67" s="38" t="str">
        <f>IF(ISBLANK(Charged!B67),"",Charged!B67)</f>
        <v/>
      </c>
      <c r="C67" s="38" t="str">
        <f>IF(ISBLANK(Charged!C67),"",CONCATENATE(Charged!C67,", ",Charged!D67))</f>
        <v/>
      </c>
      <c r="D67" s="38" t="str">
        <f>IF(ISBLANK(Charged!E67),"",Charged!E67)</f>
        <v/>
      </c>
      <c r="E67" s="38" t="str">
        <f>IF(ISBLANK(Charged!F67),"",Charged!F67)</f>
        <v/>
      </c>
      <c r="F67" s="39" t="str">
        <f>IF(ISBLANK(Charged!H67),"",Charged!H67)</f>
        <v/>
      </c>
      <c r="G67" s="37" t="str">
        <f>IF(ISBLANK(Charged!K67),"",Charged!K67)</f>
        <v/>
      </c>
      <c r="H67" s="35" t="str">
        <f t="shared" ref="H67:H130" si="3">IF(D67="","",CONCATENATE("*",D67,"*"))</f>
        <v/>
      </c>
    </row>
    <row r="68" spans="1:8" s="9" customFormat="1" ht="139.5" customHeight="1">
      <c r="A68" s="35" t="str">
        <f t="shared" si="2"/>
        <v/>
      </c>
      <c r="B68" s="38" t="str">
        <f>IF(ISBLANK(Charged!B68),"",Charged!B68)</f>
        <v/>
      </c>
      <c r="C68" s="38" t="str">
        <f>IF(ISBLANK(Charged!C68),"",CONCATENATE(Charged!C68,", ",Charged!D68))</f>
        <v/>
      </c>
      <c r="D68" s="38" t="str">
        <f>IF(ISBLANK(Charged!E68),"",Charged!E68)</f>
        <v/>
      </c>
      <c r="E68" s="38" t="str">
        <f>IF(ISBLANK(Charged!F68),"",Charged!F68)</f>
        <v/>
      </c>
      <c r="F68" s="39" t="str">
        <f>IF(ISBLANK(Charged!H68),"",Charged!H68)</f>
        <v/>
      </c>
      <c r="G68" s="37" t="str">
        <f>IF(ISBLANK(Charged!K68),"",Charged!K68)</f>
        <v/>
      </c>
      <c r="H68" s="35" t="str">
        <f t="shared" si="3"/>
        <v/>
      </c>
    </row>
    <row r="69" spans="1:8" s="9" customFormat="1" ht="139.5" customHeight="1">
      <c r="A69" s="35" t="str">
        <f t="shared" si="2"/>
        <v/>
      </c>
      <c r="B69" s="38" t="str">
        <f>IF(ISBLANK(Charged!B69),"",Charged!B69)</f>
        <v/>
      </c>
      <c r="C69" s="38" t="str">
        <f>IF(ISBLANK(Charged!C69),"",CONCATENATE(Charged!C69,", ",Charged!D69))</f>
        <v/>
      </c>
      <c r="D69" s="38" t="str">
        <f>IF(ISBLANK(Charged!E69),"",Charged!E69)</f>
        <v/>
      </c>
      <c r="E69" s="38" t="str">
        <f>IF(ISBLANK(Charged!F69),"",Charged!F69)</f>
        <v/>
      </c>
      <c r="F69" s="39" t="str">
        <f>IF(ISBLANK(Charged!H69),"",Charged!H69)</f>
        <v/>
      </c>
      <c r="G69" s="37" t="str">
        <f>IF(ISBLANK(Charged!K69),"",Charged!K69)</f>
        <v/>
      </c>
      <c r="H69" s="35" t="str">
        <f t="shared" si="3"/>
        <v/>
      </c>
    </row>
    <row r="70" spans="1:8" s="9" customFormat="1" ht="139.5" customHeight="1">
      <c r="A70" s="35" t="str">
        <f t="shared" si="2"/>
        <v/>
      </c>
      <c r="B70" s="38" t="str">
        <f>IF(ISBLANK(Charged!B70),"",Charged!B70)</f>
        <v/>
      </c>
      <c r="C70" s="38" t="str">
        <f>IF(ISBLANK(Charged!C70),"",CONCATENATE(Charged!C70,", ",Charged!D70))</f>
        <v/>
      </c>
      <c r="D70" s="38" t="str">
        <f>IF(ISBLANK(Charged!E70),"",Charged!E70)</f>
        <v/>
      </c>
      <c r="E70" s="38" t="str">
        <f>IF(ISBLANK(Charged!F70),"",Charged!F70)</f>
        <v/>
      </c>
      <c r="F70" s="39" t="str">
        <f>IF(ISBLANK(Charged!H70),"",Charged!H70)</f>
        <v/>
      </c>
      <c r="G70" s="37" t="str">
        <f>IF(ISBLANK(Charged!K70),"",Charged!K70)</f>
        <v/>
      </c>
      <c r="H70" s="35" t="str">
        <f t="shared" si="3"/>
        <v/>
      </c>
    </row>
    <row r="71" spans="1:8" s="9" customFormat="1" ht="139.5" customHeight="1">
      <c r="A71" s="35" t="str">
        <f t="shared" si="2"/>
        <v/>
      </c>
      <c r="B71" s="38" t="str">
        <f>IF(ISBLANK(Charged!B71),"",Charged!B71)</f>
        <v/>
      </c>
      <c r="C71" s="38" t="str">
        <f>IF(ISBLANK(Charged!C71),"",CONCATENATE(Charged!C71,", ",Charged!D71))</f>
        <v/>
      </c>
      <c r="D71" s="38" t="str">
        <f>IF(ISBLANK(Charged!E71),"",Charged!E71)</f>
        <v/>
      </c>
      <c r="E71" s="38" t="str">
        <f>IF(ISBLANK(Charged!F71),"",Charged!F71)</f>
        <v/>
      </c>
      <c r="F71" s="39" t="str">
        <f>IF(ISBLANK(Charged!H71),"",Charged!H71)</f>
        <v/>
      </c>
      <c r="G71" s="37" t="str">
        <f>IF(ISBLANK(Charged!K71),"",Charged!K71)</f>
        <v/>
      </c>
      <c r="H71" s="35" t="str">
        <f t="shared" si="3"/>
        <v/>
      </c>
    </row>
    <row r="72" spans="1:8" s="9" customFormat="1" ht="139.5" customHeight="1">
      <c r="A72" s="35" t="str">
        <f t="shared" si="2"/>
        <v/>
      </c>
      <c r="B72" s="38" t="str">
        <f>IF(ISBLANK(Charged!B72),"",Charged!B72)</f>
        <v/>
      </c>
      <c r="C72" s="38" t="str">
        <f>IF(ISBLANK(Charged!C72),"",CONCATENATE(Charged!C72,", ",Charged!D72))</f>
        <v/>
      </c>
      <c r="D72" s="38" t="str">
        <f>IF(ISBLANK(Charged!E72),"",Charged!E72)</f>
        <v/>
      </c>
      <c r="E72" s="38" t="str">
        <f>IF(ISBLANK(Charged!F72),"",Charged!F72)</f>
        <v/>
      </c>
      <c r="F72" s="39" t="str">
        <f>IF(ISBLANK(Charged!H72),"",Charged!H72)</f>
        <v/>
      </c>
      <c r="G72" s="37" t="str">
        <f>IF(ISBLANK(Charged!K72),"",Charged!K72)</f>
        <v/>
      </c>
      <c r="H72" s="35" t="str">
        <f t="shared" si="3"/>
        <v/>
      </c>
    </row>
    <row r="73" spans="1:8" s="9" customFormat="1" ht="139.5" customHeight="1">
      <c r="A73" s="35" t="str">
        <f t="shared" si="2"/>
        <v/>
      </c>
      <c r="B73" s="38" t="str">
        <f>IF(ISBLANK(Charged!B73),"",Charged!B73)</f>
        <v/>
      </c>
      <c r="C73" s="38" t="str">
        <f>IF(ISBLANK(Charged!C73),"",CONCATENATE(Charged!C73,", ",Charged!D73))</f>
        <v/>
      </c>
      <c r="D73" s="38" t="str">
        <f>IF(ISBLANK(Charged!E73),"",Charged!E73)</f>
        <v/>
      </c>
      <c r="E73" s="38" t="str">
        <f>IF(ISBLANK(Charged!F73),"",Charged!F73)</f>
        <v/>
      </c>
      <c r="F73" s="39" t="str">
        <f>IF(ISBLANK(Charged!H73),"",Charged!H73)</f>
        <v/>
      </c>
      <c r="G73" s="37" t="str">
        <f>IF(ISBLANK(Charged!K73),"",Charged!K73)</f>
        <v/>
      </c>
      <c r="H73" s="35" t="str">
        <f t="shared" si="3"/>
        <v/>
      </c>
    </row>
    <row r="74" spans="1:8" s="9" customFormat="1" ht="139.5" customHeight="1">
      <c r="A74" s="35" t="str">
        <f t="shared" si="2"/>
        <v/>
      </c>
      <c r="B74" s="38" t="str">
        <f>IF(ISBLANK(Charged!B74),"",Charged!B74)</f>
        <v/>
      </c>
      <c r="C74" s="38" t="str">
        <f>IF(ISBLANK(Charged!C74),"",CONCATENATE(Charged!C74,", ",Charged!D74))</f>
        <v/>
      </c>
      <c r="D74" s="38" t="str">
        <f>IF(ISBLANK(Charged!E74),"",Charged!E74)</f>
        <v/>
      </c>
      <c r="E74" s="38" t="str">
        <f>IF(ISBLANK(Charged!F74),"",Charged!F74)</f>
        <v/>
      </c>
      <c r="F74" s="39" t="str">
        <f>IF(ISBLANK(Charged!H74),"",Charged!H74)</f>
        <v/>
      </c>
      <c r="G74" s="37" t="str">
        <f>IF(ISBLANK(Charged!K74),"",Charged!K74)</f>
        <v/>
      </c>
      <c r="H74" s="35" t="str">
        <f t="shared" si="3"/>
        <v/>
      </c>
    </row>
    <row r="75" spans="1:8" s="9" customFormat="1" ht="139.5" customHeight="1">
      <c r="A75" s="35" t="str">
        <f t="shared" si="2"/>
        <v/>
      </c>
      <c r="B75" s="38" t="str">
        <f>IF(ISBLANK(Charged!B75),"",Charged!B75)</f>
        <v/>
      </c>
      <c r="C75" s="38" t="str">
        <f>IF(ISBLANK(Charged!C75),"",CONCATENATE(Charged!C75,", ",Charged!D75))</f>
        <v/>
      </c>
      <c r="D75" s="38" t="str">
        <f>IF(ISBLANK(Charged!E75),"",Charged!E75)</f>
        <v/>
      </c>
      <c r="E75" s="38" t="str">
        <f>IF(ISBLANK(Charged!F75),"",Charged!F75)</f>
        <v/>
      </c>
      <c r="F75" s="39" t="str">
        <f>IF(ISBLANK(Charged!H75),"",Charged!H75)</f>
        <v/>
      </c>
      <c r="G75" s="37" t="str">
        <f>IF(ISBLANK(Charged!K75),"",Charged!K75)</f>
        <v/>
      </c>
      <c r="H75" s="35" t="str">
        <f t="shared" si="3"/>
        <v/>
      </c>
    </row>
    <row r="76" spans="1:8" s="9" customFormat="1" ht="139.5" customHeight="1">
      <c r="A76" s="35" t="str">
        <f t="shared" si="2"/>
        <v/>
      </c>
      <c r="B76" s="38" t="str">
        <f>IF(ISBLANK(Charged!B76),"",Charged!B76)</f>
        <v/>
      </c>
      <c r="C76" s="38" t="str">
        <f>IF(ISBLANK(Charged!C76),"",CONCATENATE(Charged!C76,", ",Charged!D76))</f>
        <v/>
      </c>
      <c r="D76" s="38" t="str">
        <f>IF(ISBLANK(Charged!E76),"",Charged!E76)</f>
        <v/>
      </c>
      <c r="E76" s="38" t="str">
        <f>IF(ISBLANK(Charged!F76),"",Charged!F76)</f>
        <v/>
      </c>
      <c r="F76" s="39" t="str">
        <f>IF(ISBLANK(Charged!H76),"",Charged!H76)</f>
        <v/>
      </c>
      <c r="G76" s="37" t="str">
        <f>IF(ISBLANK(Charged!K76),"",Charged!K76)</f>
        <v/>
      </c>
      <c r="H76" s="35" t="str">
        <f t="shared" si="3"/>
        <v/>
      </c>
    </row>
    <row r="77" spans="1:8" s="9" customFormat="1" ht="139.5" customHeight="1">
      <c r="A77" s="35" t="str">
        <f t="shared" si="2"/>
        <v/>
      </c>
      <c r="B77" s="38" t="str">
        <f>IF(ISBLANK(Charged!B77),"",Charged!B77)</f>
        <v/>
      </c>
      <c r="C77" s="38" t="str">
        <f>IF(ISBLANK(Charged!C77),"",CONCATENATE(Charged!C77,", ",Charged!D77))</f>
        <v/>
      </c>
      <c r="D77" s="38" t="str">
        <f>IF(ISBLANK(Charged!E77),"",Charged!E77)</f>
        <v/>
      </c>
      <c r="E77" s="38" t="str">
        <f>IF(ISBLANK(Charged!F77),"",Charged!F77)</f>
        <v/>
      </c>
      <c r="F77" s="39" t="str">
        <f>IF(ISBLANK(Charged!H77),"",Charged!H77)</f>
        <v/>
      </c>
      <c r="G77" s="37" t="str">
        <f>IF(ISBLANK(Charged!K77),"",Charged!K77)</f>
        <v/>
      </c>
      <c r="H77" s="35" t="str">
        <f t="shared" si="3"/>
        <v/>
      </c>
    </row>
    <row r="78" spans="1:8" s="9" customFormat="1" ht="139.5" customHeight="1">
      <c r="A78" s="35" t="str">
        <f t="shared" si="2"/>
        <v/>
      </c>
      <c r="B78" s="38" t="str">
        <f>IF(ISBLANK(Charged!B78),"",Charged!B78)</f>
        <v/>
      </c>
      <c r="C78" s="38" t="str">
        <f>IF(ISBLANK(Charged!C78),"",CONCATENATE(Charged!C78,", ",Charged!D78))</f>
        <v/>
      </c>
      <c r="D78" s="38" t="str">
        <f>IF(ISBLANK(Charged!E78),"",Charged!E78)</f>
        <v/>
      </c>
      <c r="E78" s="38" t="str">
        <f>IF(ISBLANK(Charged!F78),"",Charged!F78)</f>
        <v/>
      </c>
      <c r="F78" s="39" t="str">
        <f>IF(ISBLANK(Charged!H78),"",Charged!H78)</f>
        <v/>
      </c>
      <c r="G78" s="37" t="str">
        <f>IF(ISBLANK(Charged!K78),"",Charged!K78)</f>
        <v/>
      </c>
      <c r="H78" s="35" t="str">
        <f t="shared" si="3"/>
        <v/>
      </c>
    </row>
    <row r="79" spans="1:8" s="9" customFormat="1" ht="139.5" customHeight="1">
      <c r="A79" s="35" t="str">
        <f t="shared" si="2"/>
        <v/>
      </c>
      <c r="B79" s="38" t="str">
        <f>IF(ISBLANK(Charged!B79),"",Charged!B79)</f>
        <v/>
      </c>
      <c r="C79" s="38" t="str">
        <f>IF(ISBLANK(Charged!C79),"",CONCATENATE(Charged!C79,", ",Charged!D79))</f>
        <v/>
      </c>
      <c r="D79" s="38" t="str">
        <f>IF(ISBLANK(Charged!E79),"",Charged!E79)</f>
        <v/>
      </c>
      <c r="E79" s="38" t="str">
        <f>IF(ISBLANK(Charged!F79),"",Charged!F79)</f>
        <v/>
      </c>
      <c r="F79" s="39" t="str">
        <f>IF(ISBLANK(Charged!H79),"",Charged!H79)</f>
        <v/>
      </c>
      <c r="G79" s="37" t="str">
        <f>IF(ISBLANK(Charged!K79),"",Charged!K79)</f>
        <v/>
      </c>
      <c r="H79" s="35" t="str">
        <f t="shared" si="3"/>
        <v/>
      </c>
    </row>
    <row r="80" spans="1:8" s="9" customFormat="1" ht="139.5" customHeight="1">
      <c r="A80" s="35" t="str">
        <f t="shared" si="2"/>
        <v/>
      </c>
      <c r="B80" s="38" t="str">
        <f>IF(ISBLANK(Charged!B80),"",Charged!B80)</f>
        <v/>
      </c>
      <c r="C80" s="38" t="str">
        <f>IF(ISBLANK(Charged!C80),"",CONCATENATE(Charged!C80,", ",Charged!D80))</f>
        <v/>
      </c>
      <c r="D80" s="38" t="str">
        <f>IF(ISBLANK(Charged!E80),"",Charged!E80)</f>
        <v/>
      </c>
      <c r="E80" s="38" t="str">
        <f>IF(ISBLANK(Charged!F80),"",Charged!F80)</f>
        <v/>
      </c>
      <c r="F80" s="39" t="str">
        <f>IF(ISBLANK(Charged!H80),"",Charged!H80)</f>
        <v/>
      </c>
      <c r="G80" s="37" t="str">
        <f>IF(ISBLANK(Charged!K80),"",Charged!K80)</f>
        <v/>
      </c>
      <c r="H80" s="35" t="str">
        <f t="shared" si="3"/>
        <v/>
      </c>
    </row>
    <row r="81" spans="1:8" s="9" customFormat="1" ht="139.5" customHeight="1">
      <c r="A81" s="35" t="str">
        <f t="shared" si="2"/>
        <v/>
      </c>
      <c r="B81" s="38" t="str">
        <f>IF(ISBLANK(Charged!B81),"",Charged!B81)</f>
        <v/>
      </c>
      <c r="C81" s="38" t="str">
        <f>IF(ISBLANK(Charged!C81),"",CONCATENATE(Charged!C81,", ",Charged!D81))</f>
        <v/>
      </c>
      <c r="D81" s="38" t="str">
        <f>IF(ISBLANK(Charged!E81),"",Charged!E81)</f>
        <v/>
      </c>
      <c r="E81" s="38" t="str">
        <f>IF(ISBLANK(Charged!F81),"",Charged!F81)</f>
        <v/>
      </c>
      <c r="F81" s="39" t="str">
        <f>IF(ISBLANK(Charged!H81),"",Charged!H81)</f>
        <v/>
      </c>
      <c r="G81" s="37" t="str">
        <f>IF(ISBLANK(Charged!K81),"",Charged!K81)</f>
        <v/>
      </c>
      <c r="H81" s="35" t="str">
        <f t="shared" si="3"/>
        <v/>
      </c>
    </row>
    <row r="82" spans="1:8" s="9" customFormat="1" ht="139.5" customHeight="1">
      <c r="A82" s="35" t="str">
        <f t="shared" si="2"/>
        <v/>
      </c>
      <c r="B82" s="38" t="str">
        <f>IF(ISBLANK(Charged!B82),"",Charged!B82)</f>
        <v/>
      </c>
      <c r="C82" s="38" t="str">
        <f>IF(ISBLANK(Charged!C82),"",CONCATENATE(Charged!C82,", ",Charged!D82))</f>
        <v/>
      </c>
      <c r="D82" s="38" t="str">
        <f>IF(ISBLANK(Charged!E82),"",Charged!E82)</f>
        <v/>
      </c>
      <c r="E82" s="38" t="str">
        <f>IF(ISBLANK(Charged!F82),"",Charged!F82)</f>
        <v/>
      </c>
      <c r="F82" s="39" t="str">
        <f>IF(ISBLANK(Charged!H82),"",Charged!H82)</f>
        <v/>
      </c>
      <c r="G82" s="37" t="str">
        <f>IF(ISBLANK(Charged!K82),"",Charged!K82)</f>
        <v/>
      </c>
      <c r="H82" s="35" t="str">
        <f t="shared" si="3"/>
        <v/>
      </c>
    </row>
    <row r="83" spans="1:8" s="9" customFormat="1" ht="139.5" customHeight="1">
      <c r="A83" s="35" t="str">
        <f t="shared" si="2"/>
        <v/>
      </c>
      <c r="B83" s="38" t="str">
        <f>IF(ISBLANK(Charged!B83),"",Charged!B83)</f>
        <v/>
      </c>
      <c r="C83" s="38" t="str">
        <f>IF(ISBLANK(Charged!C83),"",CONCATENATE(Charged!C83,", ",Charged!D83))</f>
        <v/>
      </c>
      <c r="D83" s="38" t="str">
        <f>IF(ISBLANK(Charged!E83),"",Charged!E83)</f>
        <v/>
      </c>
      <c r="E83" s="38" t="str">
        <f>IF(ISBLANK(Charged!F83),"",Charged!F83)</f>
        <v/>
      </c>
      <c r="F83" s="39" t="str">
        <f>IF(ISBLANK(Charged!H83),"",Charged!H83)</f>
        <v/>
      </c>
      <c r="G83" s="37" t="str">
        <f>IF(ISBLANK(Charged!K83),"",Charged!K83)</f>
        <v/>
      </c>
      <c r="H83" s="35" t="str">
        <f t="shared" si="3"/>
        <v/>
      </c>
    </row>
    <row r="84" spans="1:8" s="9" customFormat="1" ht="139.5" customHeight="1">
      <c r="A84" s="35" t="str">
        <f t="shared" si="2"/>
        <v/>
      </c>
      <c r="B84" s="38" t="str">
        <f>IF(ISBLANK(Charged!B84),"",Charged!B84)</f>
        <v/>
      </c>
      <c r="C84" s="38" t="str">
        <f>IF(ISBLANK(Charged!C84),"",CONCATENATE(Charged!C84,", ",Charged!D84))</f>
        <v/>
      </c>
      <c r="D84" s="38" t="str">
        <f>IF(ISBLANK(Charged!E84),"",Charged!E84)</f>
        <v/>
      </c>
      <c r="E84" s="38" t="str">
        <f>IF(ISBLANK(Charged!F84),"",Charged!F84)</f>
        <v/>
      </c>
      <c r="F84" s="39" t="str">
        <f>IF(ISBLANK(Charged!H84),"",Charged!H84)</f>
        <v/>
      </c>
      <c r="G84" s="37" t="str">
        <f>IF(ISBLANK(Charged!K84),"",Charged!K84)</f>
        <v/>
      </c>
      <c r="H84" s="35" t="str">
        <f t="shared" si="3"/>
        <v/>
      </c>
    </row>
    <row r="85" spans="1:8" s="9" customFormat="1" ht="139.5" customHeight="1">
      <c r="A85" s="35" t="str">
        <f t="shared" si="2"/>
        <v/>
      </c>
      <c r="B85" s="38" t="str">
        <f>IF(ISBLANK(Charged!B85),"",Charged!B85)</f>
        <v/>
      </c>
      <c r="C85" s="38" t="str">
        <f>IF(ISBLANK(Charged!C85),"",CONCATENATE(Charged!C85,", ",Charged!D85))</f>
        <v/>
      </c>
      <c r="D85" s="38" t="str">
        <f>IF(ISBLANK(Charged!E85),"",Charged!E85)</f>
        <v/>
      </c>
      <c r="E85" s="38" t="str">
        <f>IF(ISBLANK(Charged!F85),"",Charged!F85)</f>
        <v/>
      </c>
      <c r="F85" s="39" t="str">
        <f>IF(ISBLANK(Charged!H85),"",Charged!H85)</f>
        <v/>
      </c>
      <c r="G85" s="37" t="str">
        <f>IF(ISBLANK(Charged!K85),"",Charged!K85)</f>
        <v/>
      </c>
      <c r="H85" s="35" t="str">
        <f t="shared" si="3"/>
        <v/>
      </c>
    </row>
    <row r="86" spans="1:8" s="9" customFormat="1" ht="139.5" customHeight="1">
      <c r="A86" s="35" t="str">
        <f t="shared" si="2"/>
        <v/>
      </c>
      <c r="B86" s="38" t="str">
        <f>IF(ISBLANK(Charged!B86),"",Charged!B86)</f>
        <v/>
      </c>
      <c r="C86" s="38" t="str">
        <f>IF(ISBLANK(Charged!C86),"",CONCATENATE(Charged!C86,", ",Charged!D86))</f>
        <v/>
      </c>
      <c r="D86" s="38" t="str">
        <f>IF(ISBLANK(Charged!E86),"",Charged!E86)</f>
        <v/>
      </c>
      <c r="E86" s="38" t="str">
        <f>IF(ISBLANK(Charged!F86),"",Charged!F86)</f>
        <v/>
      </c>
      <c r="F86" s="39" t="str">
        <f>IF(ISBLANK(Charged!H86),"",Charged!H86)</f>
        <v/>
      </c>
      <c r="G86" s="37" t="str">
        <f>IF(ISBLANK(Charged!K86),"",Charged!K86)</f>
        <v/>
      </c>
      <c r="H86" s="35" t="str">
        <f t="shared" si="3"/>
        <v/>
      </c>
    </row>
    <row r="87" spans="1:8" s="9" customFormat="1" ht="139.5" customHeight="1">
      <c r="A87" s="35" t="str">
        <f t="shared" si="2"/>
        <v/>
      </c>
      <c r="B87" s="38" t="str">
        <f>IF(ISBLANK(Charged!B87),"",Charged!B87)</f>
        <v/>
      </c>
      <c r="C87" s="38" t="str">
        <f>IF(ISBLANK(Charged!C87),"",CONCATENATE(Charged!C87,", ",Charged!D87))</f>
        <v/>
      </c>
      <c r="D87" s="38" t="str">
        <f>IF(ISBLANK(Charged!E87),"",Charged!E87)</f>
        <v/>
      </c>
      <c r="E87" s="38" t="str">
        <f>IF(ISBLANK(Charged!F87),"",Charged!F87)</f>
        <v/>
      </c>
      <c r="F87" s="39" t="str">
        <f>IF(ISBLANK(Charged!H87),"",Charged!H87)</f>
        <v/>
      </c>
      <c r="G87" s="37" t="str">
        <f>IF(ISBLANK(Charged!K87),"",Charged!K87)</f>
        <v/>
      </c>
      <c r="H87" s="35" t="str">
        <f t="shared" si="3"/>
        <v/>
      </c>
    </row>
    <row r="88" spans="1:8" s="9" customFormat="1" ht="139.5" customHeight="1">
      <c r="A88" s="35" t="str">
        <f t="shared" si="2"/>
        <v/>
      </c>
      <c r="B88" s="38" t="str">
        <f>IF(ISBLANK(Charged!B88),"",Charged!B88)</f>
        <v/>
      </c>
      <c r="C88" s="38" t="str">
        <f>IF(ISBLANK(Charged!C88),"",CONCATENATE(Charged!C88,", ",Charged!D88))</f>
        <v/>
      </c>
      <c r="D88" s="38" t="str">
        <f>IF(ISBLANK(Charged!E88),"",Charged!E88)</f>
        <v/>
      </c>
      <c r="E88" s="38" t="str">
        <f>IF(ISBLANK(Charged!F88),"",Charged!F88)</f>
        <v/>
      </c>
      <c r="F88" s="39" t="str">
        <f>IF(ISBLANK(Charged!H88),"",Charged!H88)</f>
        <v/>
      </c>
      <c r="G88" s="37" t="str">
        <f>IF(ISBLANK(Charged!K88),"",Charged!K88)</f>
        <v/>
      </c>
      <c r="H88" s="35" t="str">
        <f t="shared" si="3"/>
        <v/>
      </c>
    </row>
    <row r="89" spans="1:8" s="9" customFormat="1" ht="139.5" customHeight="1">
      <c r="A89" s="35" t="str">
        <f t="shared" si="2"/>
        <v/>
      </c>
      <c r="B89" s="38" t="str">
        <f>IF(ISBLANK(Charged!B89),"",Charged!B89)</f>
        <v/>
      </c>
      <c r="C89" s="38" t="str">
        <f>IF(ISBLANK(Charged!C89),"",CONCATENATE(Charged!C89,", ",Charged!D89))</f>
        <v/>
      </c>
      <c r="D89" s="38" t="str">
        <f>IF(ISBLANK(Charged!E89),"",Charged!E89)</f>
        <v/>
      </c>
      <c r="E89" s="38" t="str">
        <f>IF(ISBLANK(Charged!F89),"",Charged!F89)</f>
        <v/>
      </c>
      <c r="F89" s="39" t="str">
        <f>IF(ISBLANK(Charged!H89),"",Charged!H89)</f>
        <v/>
      </c>
      <c r="G89" s="37" t="str">
        <f>IF(ISBLANK(Charged!K89),"",Charged!K89)</f>
        <v/>
      </c>
      <c r="H89" s="35" t="str">
        <f t="shared" si="3"/>
        <v/>
      </c>
    </row>
    <row r="90" spans="1:8" s="9" customFormat="1" ht="139.5" customHeight="1">
      <c r="A90" s="35" t="str">
        <f t="shared" si="2"/>
        <v/>
      </c>
      <c r="B90" s="38" t="str">
        <f>IF(ISBLANK(Charged!B90),"",Charged!B90)</f>
        <v/>
      </c>
      <c r="C90" s="38" t="str">
        <f>IF(ISBLANK(Charged!C90),"",CONCATENATE(Charged!C90,", ",Charged!D90))</f>
        <v/>
      </c>
      <c r="D90" s="38" t="str">
        <f>IF(ISBLANK(Charged!E90),"",Charged!E90)</f>
        <v/>
      </c>
      <c r="E90" s="38" t="str">
        <f>IF(ISBLANK(Charged!F90),"",Charged!F90)</f>
        <v/>
      </c>
      <c r="F90" s="39" t="str">
        <f>IF(ISBLANK(Charged!H90),"",Charged!H90)</f>
        <v/>
      </c>
      <c r="G90" s="37" t="str">
        <f>IF(ISBLANK(Charged!K90),"",Charged!K90)</f>
        <v/>
      </c>
      <c r="H90" s="35" t="str">
        <f t="shared" si="3"/>
        <v/>
      </c>
    </row>
    <row r="91" spans="1:8" s="9" customFormat="1" ht="139.5" customHeight="1">
      <c r="A91" s="35" t="str">
        <f t="shared" si="2"/>
        <v/>
      </c>
      <c r="B91" s="38" t="str">
        <f>IF(ISBLANK(Charged!B91),"",Charged!B91)</f>
        <v/>
      </c>
      <c r="C91" s="38" t="str">
        <f>IF(ISBLANK(Charged!C91),"",CONCATENATE(Charged!C91,", ",Charged!D91))</f>
        <v/>
      </c>
      <c r="D91" s="38" t="str">
        <f>IF(ISBLANK(Charged!E91),"",Charged!E91)</f>
        <v/>
      </c>
      <c r="E91" s="38" t="str">
        <f>IF(ISBLANK(Charged!F91),"",Charged!F91)</f>
        <v/>
      </c>
      <c r="F91" s="39" t="str">
        <f>IF(ISBLANK(Charged!H91),"",Charged!H91)</f>
        <v/>
      </c>
      <c r="G91" s="37" t="str">
        <f>IF(ISBLANK(Charged!K91),"",Charged!K91)</f>
        <v/>
      </c>
      <c r="H91" s="35" t="str">
        <f t="shared" si="3"/>
        <v/>
      </c>
    </row>
    <row r="92" spans="1:8" s="9" customFormat="1" ht="139.5" customHeight="1">
      <c r="A92" s="35" t="str">
        <f t="shared" si="2"/>
        <v/>
      </c>
      <c r="B92" s="38" t="str">
        <f>IF(ISBLANK(Charged!B92),"",Charged!B92)</f>
        <v/>
      </c>
      <c r="C92" s="38" t="str">
        <f>IF(ISBLANK(Charged!C92),"",CONCATENATE(Charged!C92,", ",Charged!D92))</f>
        <v/>
      </c>
      <c r="D92" s="38" t="str">
        <f>IF(ISBLANK(Charged!E92),"",Charged!E92)</f>
        <v/>
      </c>
      <c r="E92" s="38" t="str">
        <f>IF(ISBLANK(Charged!F92),"",Charged!F92)</f>
        <v/>
      </c>
      <c r="F92" s="39" t="str">
        <f>IF(ISBLANK(Charged!H92),"",Charged!H92)</f>
        <v/>
      </c>
      <c r="G92" s="37" t="str">
        <f>IF(ISBLANK(Charged!K92),"",Charged!K92)</f>
        <v/>
      </c>
      <c r="H92" s="35" t="str">
        <f t="shared" si="3"/>
        <v/>
      </c>
    </row>
    <row r="93" spans="1:8" s="9" customFormat="1" ht="139.5" customHeight="1">
      <c r="A93" s="35" t="str">
        <f t="shared" si="2"/>
        <v/>
      </c>
      <c r="B93" s="38" t="str">
        <f>IF(ISBLANK(Charged!B93),"",Charged!B93)</f>
        <v/>
      </c>
      <c r="C93" s="38" t="str">
        <f>IF(ISBLANK(Charged!C93),"",CONCATENATE(Charged!C93,", ",Charged!D93))</f>
        <v/>
      </c>
      <c r="D93" s="38" t="str">
        <f>IF(ISBLANK(Charged!E93),"",Charged!E93)</f>
        <v/>
      </c>
      <c r="E93" s="38" t="str">
        <f>IF(ISBLANK(Charged!F93),"",Charged!F93)</f>
        <v/>
      </c>
      <c r="F93" s="39" t="str">
        <f>IF(ISBLANK(Charged!H93),"",Charged!H93)</f>
        <v/>
      </c>
      <c r="G93" s="37" t="str">
        <f>IF(ISBLANK(Charged!K93),"",Charged!K93)</f>
        <v/>
      </c>
      <c r="H93" s="35" t="str">
        <f t="shared" si="3"/>
        <v/>
      </c>
    </row>
    <row r="94" spans="1:8" s="9" customFormat="1" ht="139.5" customHeight="1">
      <c r="A94" s="35" t="str">
        <f t="shared" si="2"/>
        <v/>
      </c>
      <c r="B94" s="38" t="str">
        <f>IF(ISBLANK(Charged!B94),"",Charged!B94)</f>
        <v/>
      </c>
      <c r="C94" s="38" t="str">
        <f>IF(ISBLANK(Charged!C94),"",CONCATENATE(Charged!C94,", ",Charged!D94))</f>
        <v/>
      </c>
      <c r="D94" s="38" t="str">
        <f>IF(ISBLANK(Charged!E94),"",Charged!E94)</f>
        <v/>
      </c>
      <c r="E94" s="38" t="str">
        <f>IF(ISBLANK(Charged!F94),"",Charged!F94)</f>
        <v/>
      </c>
      <c r="F94" s="39" t="str">
        <f>IF(ISBLANK(Charged!H94),"",Charged!H94)</f>
        <v/>
      </c>
      <c r="G94" s="37" t="str">
        <f>IF(ISBLANK(Charged!K94),"",Charged!K94)</f>
        <v/>
      </c>
      <c r="H94" s="35" t="str">
        <f t="shared" si="3"/>
        <v/>
      </c>
    </row>
    <row r="95" spans="1:8" s="9" customFormat="1" ht="139.5" customHeight="1">
      <c r="A95" s="35" t="str">
        <f t="shared" si="2"/>
        <v/>
      </c>
      <c r="B95" s="38" t="str">
        <f>IF(ISBLANK(Charged!B95),"",Charged!B95)</f>
        <v/>
      </c>
      <c r="C95" s="38" t="str">
        <f>IF(ISBLANK(Charged!C95),"",CONCATENATE(Charged!C95,", ",Charged!D95))</f>
        <v/>
      </c>
      <c r="D95" s="38" t="str">
        <f>IF(ISBLANK(Charged!E95),"",Charged!E95)</f>
        <v/>
      </c>
      <c r="E95" s="38" t="str">
        <f>IF(ISBLANK(Charged!F95),"",Charged!F95)</f>
        <v/>
      </c>
      <c r="F95" s="39" t="str">
        <f>IF(ISBLANK(Charged!H95),"",Charged!H95)</f>
        <v/>
      </c>
      <c r="G95" s="37" t="str">
        <f>IF(ISBLANK(Charged!K95),"",Charged!K95)</f>
        <v/>
      </c>
      <c r="H95" s="35" t="str">
        <f t="shared" si="3"/>
        <v/>
      </c>
    </row>
    <row r="96" spans="1:8" s="9" customFormat="1" ht="139.5" customHeight="1">
      <c r="A96" s="35" t="str">
        <f t="shared" si="2"/>
        <v/>
      </c>
      <c r="B96" s="38" t="str">
        <f>IF(ISBLANK(Charged!B96),"",Charged!B96)</f>
        <v/>
      </c>
      <c r="C96" s="38" t="str">
        <f>IF(ISBLANK(Charged!C96),"",CONCATENATE(Charged!C96,", ",Charged!D96))</f>
        <v/>
      </c>
      <c r="D96" s="38" t="str">
        <f>IF(ISBLANK(Charged!E96),"",Charged!E96)</f>
        <v/>
      </c>
      <c r="E96" s="38" t="str">
        <f>IF(ISBLANK(Charged!F96),"",Charged!F96)</f>
        <v/>
      </c>
      <c r="F96" s="39" t="str">
        <f>IF(ISBLANK(Charged!H96),"",Charged!H96)</f>
        <v/>
      </c>
      <c r="G96" s="37" t="str">
        <f>IF(ISBLANK(Charged!K96),"",Charged!K96)</f>
        <v/>
      </c>
      <c r="H96" s="35" t="str">
        <f t="shared" si="3"/>
        <v/>
      </c>
    </row>
    <row r="97" spans="1:8" s="9" customFormat="1" ht="139.5" customHeight="1">
      <c r="A97" s="35" t="str">
        <f t="shared" si="2"/>
        <v/>
      </c>
      <c r="B97" s="38" t="str">
        <f>IF(ISBLANK(Charged!B97),"",Charged!B97)</f>
        <v/>
      </c>
      <c r="C97" s="38" t="str">
        <f>IF(ISBLANK(Charged!C97),"",CONCATENATE(Charged!C97,", ",Charged!D97))</f>
        <v/>
      </c>
      <c r="D97" s="38" t="str">
        <f>IF(ISBLANK(Charged!E97),"",Charged!E97)</f>
        <v/>
      </c>
      <c r="E97" s="38" t="str">
        <f>IF(ISBLANK(Charged!F97),"",Charged!F97)</f>
        <v/>
      </c>
      <c r="F97" s="39" t="str">
        <f>IF(ISBLANK(Charged!H97),"",Charged!H97)</f>
        <v/>
      </c>
      <c r="G97" s="37" t="str">
        <f>IF(ISBLANK(Charged!K97),"",Charged!K97)</f>
        <v/>
      </c>
      <c r="H97" s="35" t="str">
        <f t="shared" si="3"/>
        <v/>
      </c>
    </row>
    <row r="98" spans="1:8" s="9" customFormat="1" ht="139.5" customHeight="1">
      <c r="A98" s="35" t="str">
        <f t="shared" si="2"/>
        <v/>
      </c>
      <c r="B98" s="38" t="str">
        <f>IF(ISBLANK(Charged!B98),"",Charged!B98)</f>
        <v/>
      </c>
      <c r="C98" s="38" t="str">
        <f>IF(ISBLANK(Charged!C98),"",CONCATENATE(Charged!C98,", ",Charged!D98))</f>
        <v/>
      </c>
      <c r="D98" s="38" t="str">
        <f>IF(ISBLANK(Charged!E98),"",Charged!E98)</f>
        <v/>
      </c>
      <c r="E98" s="38" t="str">
        <f>IF(ISBLANK(Charged!F98),"",Charged!F98)</f>
        <v/>
      </c>
      <c r="F98" s="39" t="str">
        <f>IF(ISBLANK(Charged!H98),"",Charged!H98)</f>
        <v/>
      </c>
      <c r="G98" s="37" t="str">
        <f>IF(ISBLANK(Charged!K98),"",Charged!K98)</f>
        <v/>
      </c>
      <c r="H98" s="35" t="str">
        <f t="shared" si="3"/>
        <v/>
      </c>
    </row>
    <row r="99" spans="1:8" s="9" customFormat="1" ht="139.5" customHeight="1">
      <c r="A99" s="35" t="str">
        <f t="shared" si="2"/>
        <v/>
      </c>
      <c r="B99" s="38" t="str">
        <f>IF(ISBLANK(Charged!B99),"",Charged!B99)</f>
        <v/>
      </c>
      <c r="C99" s="38" t="str">
        <f>IF(ISBLANK(Charged!C99),"",CONCATENATE(Charged!C99,", ",Charged!D99))</f>
        <v/>
      </c>
      <c r="D99" s="38" t="str">
        <f>IF(ISBLANK(Charged!E99),"",Charged!E99)</f>
        <v/>
      </c>
      <c r="E99" s="38" t="str">
        <f>IF(ISBLANK(Charged!F99),"",Charged!F99)</f>
        <v/>
      </c>
      <c r="F99" s="39" t="str">
        <f>IF(ISBLANK(Charged!H99),"",Charged!H99)</f>
        <v/>
      </c>
      <c r="G99" s="37" t="str">
        <f>IF(ISBLANK(Charged!K99),"",Charged!K99)</f>
        <v/>
      </c>
      <c r="H99" s="35" t="str">
        <f t="shared" si="3"/>
        <v/>
      </c>
    </row>
    <row r="100" spans="1:8" s="9" customFormat="1" ht="139.5" customHeight="1">
      <c r="A100" s="35" t="str">
        <f t="shared" si="2"/>
        <v/>
      </c>
      <c r="B100" s="38" t="str">
        <f>IF(ISBLANK(Charged!B100),"",Charged!B100)</f>
        <v/>
      </c>
      <c r="C100" s="38" t="str">
        <f>IF(ISBLANK(Charged!C100),"",CONCATENATE(Charged!C100,", ",Charged!D100))</f>
        <v/>
      </c>
      <c r="D100" s="38" t="str">
        <f>IF(ISBLANK(Charged!E100),"",Charged!E100)</f>
        <v/>
      </c>
      <c r="E100" s="38" t="str">
        <f>IF(ISBLANK(Charged!F100),"",Charged!F100)</f>
        <v/>
      </c>
      <c r="F100" s="39" t="str">
        <f>IF(ISBLANK(Charged!H100),"",Charged!H100)</f>
        <v/>
      </c>
      <c r="G100" s="37" t="str">
        <f>IF(ISBLANK(Charged!K100),"",Charged!K100)</f>
        <v/>
      </c>
      <c r="H100" s="35" t="str">
        <f t="shared" si="3"/>
        <v/>
      </c>
    </row>
    <row r="101" spans="1:8" s="9" customFormat="1" ht="139.5" customHeight="1">
      <c r="A101" s="35" t="str">
        <f t="shared" si="2"/>
        <v/>
      </c>
      <c r="B101" s="38" t="str">
        <f>IF(ISBLANK(Charged!B101),"",Charged!B101)</f>
        <v/>
      </c>
      <c r="C101" s="38" t="str">
        <f>IF(ISBLANK(Charged!C101),"",CONCATENATE(Charged!C101,", ",Charged!D101))</f>
        <v/>
      </c>
      <c r="D101" s="38" t="str">
        <f>IF(ISBLANK(Charged!E101),"",Charged!E101)</f>
        <v/>
      </c>
      <c r="E101" s="38" t="str">
        <f>IF(ISBLANK(Charged!F101),"",Charged!F101)</f>
        <v/>
      </c>
      <c r="F101" s="39" t="str">
        <f>IF(ISBLANK(Charged!H101),"",Charged!H101)</f>
        <v/>
      </c>
      <c r="G101" s="37" t="str">
        <f>IF(ISBLANK(Charged!K101),"",Charged!K101)</f>
        <v/>
      </c>
      <c r="H101" s="35" t="str">
        <f t="shared" si="3"/>
        <v/>
      </c>
    </row>
    <row r="102" spans="1:8" s="9" customFormat="1" ht="139.5" customHeight="1">
      <c r="A102" s="35" t="str">
        <f t="shared" si="2"/>
        <v/>
      </c>
      <c r="B102" s="38" t="str">
        <f>IF(ISBLANK(Charged!B102),"",Charged!B102)</f>
        <v/>
      </c>
      <c r="C102" s="38" t="str">
        <f>IF(ISBLANK(Charged!C102),"",CONCATENATE(Charged!C102,", ",Charged!D102))</f>
        <v/>
      </c>
      <c r="D102" s="38" t="str">
        <f>IF(ISBLANK(Charged!E102),"",Charged!E102)</f>
        <v/>
      </c>
      <c r="E102" s="38" t="str">
        <f>IF(ISBLANK(Charged!F102),"",Charged!F102)</f>
        <v/>
      </c>
      <c r="F102" s="39" t="str">
        <f>IF(ISBLANK(Charged!H102),"",Charged!H102)</f>
        <v/>
      </c>
      <c r="G102" s="37" t="str">
        <f>IF(ISBLANK(Charged!K102),"",Charged!K102)</f>
        <v/>
      </c>
      <c r="H102" s="35" t="str">
        <f t="shared" si="3"/>
        <v/>
      </c>
    </row>
    <row r="103" spans="1:8" s="9" customFormat="1" ht="139.5" customHeight="1">
      <c r="A103" s="35" t="str">
        <f t="shared" si="2"/>
        <v/>
      </c>
      <c r="B103" s="38" t="str">
        <f>IF(ISBLANK(Charged!B103),"",Charged!B103)</f>
        <v/>
      </c>
      <c r="C103" s="38" t="str">
        <f>IF(ISBLANK(Charged!C103),"",CONCATENATE(Charged!C103,", ",Charged!D103))</f>
        <v/>
      </c>
      <c r="D103" s="38" t="str">
        <f>IF(ISBLANK(Charged!E103),"",Charged!E103)</f>
        <v/>
      </c>
      <c r="E103" s="38" t="str">
        <f>IF(ISBLANK(Charged!F103),"",Charged!F103)</f>
        <v/>
      </c>
      <c r="F103" s="39" t="str">
        <f>IF(ISBLANK(Charged!H103),"",Charged!H103)</f>
        <v/>
      </c>
      <c r="G103" s="37" t="str">
        <f>IF(ISBLANK(Charged!K103),"",Charged!K103)</f>
        <v/>
      </c>
      <c r="H103" s="35" t="str">
        <f t="shared" si="3"/>
        <v/>
      </c>
    </row>
    <row r="104" spans="1:8" s="9" customFormat="1" ht="139.5" customHeight="1">
      <c r="A104" s="35" t="str">
        <f t="shared" si="2"/>
        <v/>
      </c>
      <c r="B104" s="38" t="str">
        <f>IF(ISBLANK(Charged!B104),"",Charged!B104)</f>
        <v/>
      </c>
      <c r="C104" s="38" t="str">
        <f>IF(ISBLANK(Charged!C104),"",CONCATENATE(Charged!C104,", ",Charged!D104))</f>
        <v/>
      </c>
      <c r="D104" s="38" t="str">
        <f>IF(ISBLANK(Charged!E104),"",Charged!E104)</f>
        <v/>
      </c>
      <c r="E104" s="38" t="str">
        <f>IF(ISBLANK(Charged!F104),"",Charged!F104)</f>
        <v/>
      </c>
      <c r="F104" s="39" t="str">
        <f>IF(ISBLANK(Charged!H104),"",Charged!H104)</f>
        <v/>
      </c>
      <c r="G104" s="37" t="str">
        <f>IF(ISBLANK(Charged!K104),"",Charged!K104)</f>
        <v/>
      </c>
      <c r="H104" s="35" t="str">
        <f t="shared" si="3"/>
        <v/>
      </c>
    </row>
    <row r="105" spans="1:8" s="9" customFormat="1" ht="139.5" customHeight="1">
      <c r="A105" s="35" t="str">
        <f t="shared" si="2"/>
        <v/>
      </c>
      <c r="B105" s="38" t="str">
        <f>IF(ISBLANK(Charged!B105),"",Charged!B105)</f>
        <v/>
      </c>
      <c r="C105" s="38" t="str">
        <f>IF(ISBLANK(Charged!C105),"",CONCATENATE(Charged!C105,", ",Charged!D105))</f>
        <v/>
      </c>
      <c r="D105" s="38" t="str">
        <f>IF(ISBLANK(Charged!E105),"",Charged!E105)</f>
        <v/>
      </c>
      <c r="E105" s="38" t="str">
        <f>IF(ISBLANK(Charged!F105),"",Charged!F105)</f>
        <v/>
      </c>
      <c r="F105" s="39" t="str">
        <f>IF(ISBLANK(Charged!H105),"",Charged!H105)</f>
        <v/>
      </c>
      <c r="G105" s="37" t="str">
        <f>IF(ISBLANK(Charged!K105),"",Charged!K105)</f>
        <v/>
      </c>
      <c r="H105" s="35" t="str">
        <f t="shared" si="3"/>
        <v/>
      </c>
    </row>
    <row r="106" spans="1:8" s="9" customFormat="1" ht="139.5" customHeight="1">
      <c r="A106" s="35" t="str">
        <f t="shared" si="2"/>
        <v/>
      </c>
      <c r="B106" s="38" t="str">
        <f>IF(ISBLANK(Charged!B106),"",Charged!B106)</f>
        <v/>
      </c>
      <c r="C106" s="38" t="str">
        <f>IF(ISBLANK(Charged!C106),"",CONCATENATE(Charged!C106,", ",Charged!D106))</f>
        <v/>
      </c>
      <c r="D106" s="38" t="str">
        <f>IF(ISBLANK(Charged!E106),"",Charged!E106)</f>
        <v/>
      </c>
      <c r="E106" s="38" t="str">
        <f>IF(ISBLANK(Charged!F106),"",Charged!F106)</f>
        <v/>
      </c>
      <c r="F106" s="39" t="str">
        <f>IF(ISBLANK(Charged!H106),"",Charged!H106)</f>
        <v/>
      </c>
      <c r="G106" s="37" t="str">
        <f>IF(ISBLANK(Charged!K106),"",Charged!K106)</f>
        <v/>
      </c>
      <c r="H106" s="35" t="str">
        <f t="shared" si="3"/>
        <v/>
      </c>
    </row>
    <row r="107" spans="1:8" s="9" customFormat="1" ht="139.5" customHeight="1">
      <c r="A107" s="35" t="str">
        <f t="shared" si="2"/>
        <v/>
      </c>
      <c r="B107" s="38" t="str">
        <f>IF(ISBLANK(Charged!B107),"",Charged!B107)</f>
        <v/>
      </c>
      <c r="C107" s="38" t="str">
        <f>IF(ISBLANK(Charged!C107),"",CONCATENATE(Charged!C107,", ",Charged!D107))</f>
        <v/>
      </c>
      <c r="D107" s="38" t="str">
        <f>IF(ISBLANK(Charged!E107),"",Charged!E107)</f>
        <v/>
      </c>
      <c r="E107" s="38" t="str">
        <f>IF(ISBLANK(Charged!F107),"",Charged!F107)</f>
        <v/>
      </c>
      <c r="F107" s="39" t="str">
        <f>IF(ISBLANK(Charged!H107),"",Charged!H107)</f>
        <v/>
      </c>
      <c r="G107" s="37" t="str">
        <f>IF(ISBLANK(Charged!K107),"",Charged!K107)</f>
        <v/>
      </c>
      <c r="H107" s="35" t="str">
        <f t="shared" si="3"/>
        <v/>
      </c>
    </row>
    <row r="108" spans="1:8" s="9" customFormat="1" ht="139.5" customHeight="1">
      <c r="A108" s="35" t="str">
        <f t="shared" si="2"/>
        <v/>
      </c>
      <c r="B108" s="38" t="str">
        <f>IF(ISBLANK(Charged!B108),"",Charged!B108)</f>
        <v/>
      </c>
      <c r="C108" s="38" t="str">
        <f>IF(ISBLANK(Charged!C108),"",CONCATENATE(Charged!C108,", ",Charged!D108))</f>
        <v/>
      </c>
      <c r="D108" s="38" t="str">
        <f>IF(ISBLANK(Charged!E108),"",Charged!E108)</f>
        <v/>
      </c>
      <c r="E108" s="38" t="str">
        <f>IF(ISBLANK(Charged!F108),"",Charged!F108)</f>
        <v/>
      </c>
      <c r="F108" s="39" t="str">
        <f>IF(ISBLANK(Charged!H108),"",Charged!H108)</f>
        <v/>
      </c>
      <c r="G108" s="37" t="str">
        <f>IF(ISBLANK(Charged!K108),"",Charged!K108)</f>
        <v/>
      </c>
      <c r="H108" s="35" t="str">
        <f t="shared" si="3"/>
        <v/>
      </c>
    </row>
    <row r="109" spans="1:8" s="9" customFormat="1" ht="139.5" customHeight="1">
      <c r="A109" s="35" t="str">
        <f t="shared" si="2"/>
        <v/>
      </c>
      <c r="B109" s="38" t="str">
        <f>IF(ISBLANK(Charged!B109),"",Charged!B109)</f>
        <v/>
      </c>
      <c r="C109" s="38" t="str">
        <f>IF(ISBLANK(Charged!C109),"",CONCATENATE(Charged!C109,", ",Charged!D109))</f>
        <v/>
      </c>
      <c r="D109" s="38" t="str">
        <f>IF(ISBLANK(Charged!E109),"",Charged!E109)</f>
        <v/>
      </c>
      <c r="E109" s="38" t="str">
        <f>IF(ISBLANK(Charged!F109),"",Charged!F109)</f>
        <v/>
      </c>
      <c r="F109" s="39" t="str">
        <f>IF(ISBLANK(Charged!H109),"",Charged!H109)</f>
        <v/>
      </c>
      <c r="G109" s="37" t="str">
        <f>IF(ISBLANK(Charged!K109),"",Charged!K109)</f>
        <v/>
      </c>
      <c r="H109" s="35" t="str">
        <f t="shared" si="3"/>
        <v/>
      </c>
    </row>
    <row r="110" spans="1:8" s="9" customFormat="1" ht="139.5" customHeight="1">
      <c r="A110" s="35" t="str">
        <f t="shared" si="2"/>
        <v/>
      </c>
      <c r="B110" s="38" t="str">
        <f>IF(ISBLANK(Charged!B110),"",Charged!B110)</f>
        <v/>
      </c>
      <c r="C110" s="38" t="str">
        <f>IF(ISBLANK(Charged!C110),"",CONCATENATE(Charged!C110,", ",Charged!D110))</f>
        <v/>
      </c>
      <c r="D110" s="38" t="str">
        <f>IF(ISBLANK(Charged!E110),"",Charged!E110)</f>
        <v/>
      </c>
      <c r="E110" s="38" t="str">
        <f>IF(ISBLANK(Charged!F110),"",Charged!F110)</f>
        <v/>
      </c>
      <c r="F110" s="39" t="str">
        <f>IF(ISBLANK(Charged!H110),"",Charged!H110)</f>
        <v/>
      </c>
      <c r="G110" s="37" t="str">
        <f>IF(ISBLANK(Charged!K110),"",Charged!K110)</f>
        <v/>
      </c>
      <c r="H110" s="35" t="str">
        <f t="shared" si="3"/>
        <v/>
      </c>
    </row>
    <row r="111" spans="1:8" s="9" customFormat="1" ht="139.5" customHeight="1">
      <c r="A111" s="35" t="str">
        <f t="shared" si="2"/>
        <v/>
      </c>
      <c r="B111" s="38" t="str">
        <f>IF(ISBLANK(Charged!B111),"",Charged!B111)</f>
        <v/>
      </c>
      <c r="C111" s="38" t="str">
        <f>IF(ISBLANK(Charged!C111),"",CONCATENATE(Charged!C111,", ",Charged!D111))</f>
        <v/>
      </c>
      <c r="D111" s="38" t="str">
        <f>IF(ISBLANK(Charged!E111),"",Charged!E111)</f>
        <v/>
      </c>
      <c r="E111" s="38" t="str">
        <f>IF(ISBLANK(Charged!F111),"",Charged!F111)</f>
        <v/>
      </c>
      <c r="F111" s="39" t="str">
        <f>IF(ISBLANK(Charged!H111),"",Charged!H111)</f>
        <v/>
      </c>
      <c r="G111" s="37" t="str">
        <f>IF(ISBLANK(Charged!K111),"",Charged!K111)</f>
        <v/>
      </c>
      <c r="H111" s="35" t="str">
        <f t="shared" si="3"/>
        <v/>
      </c>
    </row>
    <row r="112" spans="1:8" s="9" customFormat="1" ht="139.5" customHeight="1">
      <c r="A112" s="35" t="str">
        <f t="shared" si="2"/>
        <v/>
      </c>
      <c r="B112" s="38" t="str">
        <f>IF(ISBLANK(Charged!B112),"",Charged!B112)</f>
        <v/>
      </c>
      <c r="C112" s="38" t="str">
        <f>IF(ISBLANK(Charged!C112),"",CONCATENATE(Charged!C112,", ",Charged!D112))</f>
        <v/>
      </c>
      <c r="D112" s="38" t="str">
        <f>IF(ISBLANK(Charged!E112),"",Charged!E112)</f>
        <v/>
      </c>
      <c r="E112" s="38" t="str">
        <f>IF(ISBLANK(Charged!F112),"",Charged!F112)</f>
        <v/>
      </c>
      <c r="F112" s="39" t="str">
        <f>IF(ISBLANK(Charged!H112),"",Charged!H112)</f>
        <v/>
      </c>
      <c r="G112" s="37" t="str">
        <f>IF(ISBLANK(Charged!K112),"",Charged!K112)</f>
        <v/>
      </c>
      <c r="H112" s="35" t="str">
        <f t="shared" si="3"/>
        <v/>
      </c>
    </row>
    <row r="113" spans="1:8" s="9" customFormat="1" ht="139.5" customHeight="1">
      <c r="A113" s="35" t="str">
        <f t="shared" si="2"/>
        <v/>
      </c>
      <c r="B113" s="38" t="str">
        <f>IF(ISBLANK(Charged!B113),"",Charged!B113)</f>
        <v/>
      </c>
      <c r="C113" s="38" t="str">
        <f>IF(ISBLANK(Charged!C113),"",CONCATENATE(Charged!C113,", ",Charged!D113))</f>
        <v/>
      </c>
      <c r="D113" s="38" t="str">
        <f>IF(ISBLANK(Charged!E113),"",Charged!E113)</f>
        <v/>
      </c>
      <c r="E113" s="38" t="str">
        <f>IF(ISBLANK(Charged!F113),"",Charged!F113)</f>
        <v/>
      </c>
      <c r="F113" s="39" t="str">
        <f>IF(ISBLANK(Charged!H113),"",Charged!H113)</f>
        <v/>
      </c>
      <c r="G113" s="37" t="str">
        <f>IF(ISBLANK(Charged!K113),"",Charged!K113)</f>
        <v/>
      </c>
      <c r="H113" s="35" t="str">
        <f t="shared" si="3"/>
        <v/>
      </c>
    </row>
    <row r="114" spans="1:8" s="9" customFormat="1" ht="139.5" customHeight="1">
      <c r="A114" s="35" t="str">
        <f t="shared" si="2"/>
        <v/>
      </c>
      <c r="B114" s="38" t="str">
        <f>IF(ISBLANK(Charged!B114),"",Charged!B114)</f>
        <v/>
      </c>
      <c r="C114" s="38" t="str">
        <f>IF(ISBLANK(Charged!C114),"",CONCATENATE(Charged!C114,", ",Charged!D114))</f>
        <v/>
      </c>
      <c r="D114" s="38" t="str">
        <f>IF(ISBLANK(Charged!E114),"",Charged!E114)</f>
        <v/>
      </c>
      <c r="E114" s="38" t="str">
        <f>IF(ISBLANK(Charged!F114),"",Charged!F114)</f>
        <v/>
      </c>
      <c r="F114" s="39" t="str">
        <f>IF(ISBLANK(Charged!H114),"",Charged!H114)</f>
        <v/>
      </c>
      <c r="G114" s="37" t="str">
        <f>IF(ISBLANK(Charged!K114),"",Charged!K114)</f>
        <v/>
      </c>
      <c r="H114" s="35" t="str">
        <f t="shared" si="3"/>
        <v/>
      </c>
    </row>
    <row r="115" spans="1:8" s="9" customFormat="1" ht="139.5" customHeight="1">
      <c r="A115" s="35" t="str">
        <f t="shared" si="2"/>
        <v/>
      </c>
      <c r="B115" s="38" t="str">
        <f>IF(ISBLANK(Charged!B115),"",Charged!B115)</f>
        <v/>
      </c>
      <c r="C115" s="38" t="str">
        <f>IF(ISBLANK(Charged!C115),"",CONCATENATE(Charged!C115,", ",Charged!D115))</f>
        <v/>
      </c>
      <c r="D115" s="38" t="str">
        <f>IF(ISBLANK(Charged!E115),"",Charged!E115)</f>
        <v/>
      </c>
      <c r="E115" s="38" t="str">
        <f>IF(ISBLANK(Charged!F115),"",Charged!F115)</f>
        <v/>
      </c>
      <c r="F115" s="39" t="str">
        <f>IF(ISBLANK(Charged!H115),"",Charged!H115)</f>
        <v/>
      </c>
      <c r="G115" s="37" t="str">
        <f>IF(ISBLANK(Charged!K115),"",Charged!K115)</f>
        <v/>
      </c>
      <c r="H115" s="35" t="str">
        <f t="shared" si="3"/>
        <v/>
      </c>
    </row>
    <row r="116" spans="1:8" s="9" customFormat="1" ht="139.5" customHeight="1">
      <c r="A116" s="35" t="str">
        <f t="shared" si="2"/>
        <v/>
      </c>
      <c r="B116" s="38" t="str">
        <f>IF(ISBLANK(Charged!B116),"",Charged!B116)</f>
        <v/>
      </c>
      <c r="C116" s="38" t="str">
        <f>IF(ISBLANK(Charged!C116),"",CONCATENATE(Charged!C116,", ",Charged!D116))</f>
        <v/>
      </c>
      <c r="D116" s="38" t="str">
        <f>IF(ISBLANK(Charged!E116),"",Charged!E116)</f>
        <v/>
      </c>
      <c r="E116" s="38" t="str">
        <f>IF(ISBLANK(Charged!F116),"",Charged!F116)</f>
        <v/>
      </c>
      <c r="F116" s="39" t="str">
        <f>IF(ISBLANK(Charged!H116),"",Charged!H116)</f>
        <v/>
      </c>
      <c r="G116" s="37" t="str">
        <f>IF(ISBLANK(Charged!K116),"",Charged!K116)</f>
        <v/>
      </c>
      <c r="H116" s="35" t="str">
        <f t="shared" si="3"/>
        <v/>
      </c>
    </row>
    <row r="117" spans="1:8" s="9" customFormat="1" ht="139.5" customHeight="1">
      <c r="A117" s="35" t="str">
        <f t="shared" si="2"/>
        <v/>
      </c>
      <c r="B117" s="38" t="str">
        <f>IF(ISBLANK(Charged!B117),"",Charged!B117)</f>
        <v/>
      </c>
      <c r="C117" s="38" t="str">
        <f>IF(ISBLANK(Charged!C117),"",CONCATENATE(Charged!C117,", ",Charged!D117))</f>
        <v/>
      </c>
      <c r="D117" s="38" t="str">
        <f>IF(ISBLANK(Charged!E117),"",Charged!E117)</f>
        <v/>
      </c>
      <c r="E117" s="38" t="str">
        <f>IF(ISBLANK(Charged!F117),"",Charged!F117)</f>
        <v/>
      </c>
      <c r="F117" s="39" t="str">
        <f>IF(ISBLANK(Charged!H117),"",Charged!H117)</f>
        <v/>
      </c>
      <c r="G117" s="37" t="str">
        <f>IF(ISBLANK(Charged!K117),"",Charged!K117)</f>
        <v/>
      </c>
      <c r="H117" s="35" t="str">
        <f t="shared" si="3"/>
        <v/>
      </c>
    </row>
    <row r="118" spans="1:8" s="9" customFormat="1" ht="139.5" customHeight="1">
      <c r="A118" s="35" t="str">
        <f t="shared" si="2"/>
        <v/>
      </c>
      <c r="B118" s="38" t="str">
        <f>IF(ISBLANK(Charged!B118),"",Charged!B118)</f>
        <v/>
      </c>
      <c r="C118" s="38" t="str">
        <f>IF(ISBLANK(Charged!C118),"",CONCATENATE(Charged!C118,", ",Charged!D118))</f>
        <v/>
      </c>
      <c r="D118" s="38" t="str">
        <f>IF(ISBLANK(Charged!E118),"",Charged!E118)</f>
        <v/>
      </c>
      <c r="E118" s="38" t="str">
        <f>IF(ISBLANK(Charged!F118),"",Charged!F118)</f>
        <v/>
      </c>
      <c r="F118" s="39" t="str">
        <f>IF(ISBLANK(Charged!H118),"",Charged!H118)</f>
        <v/>
      </c>
      <c r="G118" s="37" t="str">
        <f>IF(ISBLANK(Charged!K118),"",Charged!K118)</f>
        <v/>
      </c>
      <c r="H118" s="35" t="str">
        <f t="shared" si="3"/>
        <v/>
      </c>
    </row>
    <row r="119" spans="1:8" s="9" customFormat="1" ht="139.5" customHeight="1">
      <c r="A119" s="35" t="str">
        <f t="shared" si="2"/>
        <v/>
      </c>
      <c r="B119" s="38" t="str">
        <f>IF(ISBLANK(Charged!B119),"",Charged!B119)</f>
        <v/>
      </c>
      <c r="C119" s="38" t="str">
        <f>IF(ISBLANK(Charged!C119),"",CONCATENATE(Charged!C119,", ",Charged!D119))</f>
        <v/>
      </c>
      <c r="D119" s="38" t="str">
        <f>IF(ISBLANK(Charged!E119),"",Charged!E119)</f>
        <v/>
      </c>
      <c r="E119" s="38" t="str">
        <f>IF(ISBLANK(Charged!F119),"",Charged!F119)</f>
        <v/>
      </c>
      <c r="F119" s="39" t="str">
        <f>IF(ISBLANK(Charged!H119),"",Charged!H119)</f>
        <v/>
      </c>
      <c r="G119" s="37" t="str">
        <f>IF(ISBLANK(Charged!K119),"",Charged!K119)</f>
        <v/>
      </c>
      <c r="H119" s="35" t="str">
        <f t="shared" si="3"/>
        <v/>
      </c>
    </row>
    <row r="120" spans="1:8" s="9" customFormat="1" ht="139.5" customHeight="1">
      <c r="A120" s="35" t="str">
        <f t="shared" si="2"/>
        <v/>
      </c>
      <c r="B120" s="38" t="str">
        <f>IF(ISBLANK(Charged!B120),"",Charged!B120)</f>
        <v/>
      </c>
      <c r="C120" s="38" t="str">
        <f>IF(ISBLANK(Charged!C120),"",CONCATENATE(Charged!C120,", ",Charged!D120))</f>
        <v/>
      </c>
      <c r="D120" s="38" t="str">
        <f>IF(ISBLANK(Charged!E120),"",Charged!E120)</f>
        <v/>
      </c>
      <c r="E120" s="38" t="str">
        <f>IF(ISBLANK(Charged!F120),"",Charged!F120)</f>
        <v/>
      </c>
      <c r="F120" s="39" t="str">
        <f>IF(ISBLANK(Charged!H120),"",Charged!H120)</f>
        <v/>
      </c>
      <c r="G120" s="37" t="str">
        <f>IF(ISBLANK(Charged!K120),"",Charged!K120)</f>
        <v/>
      </c>
      <c r="H120" s="35" t="str">
        <f t="shared" si="3"/>
        <v/>
      </c>
    </row>
    <row r="121" spans="1:8" s="9" customFormat="1" ht="139.5" customHeight="1">
      <c r="A121" s="35" t="str">
        <f t="shared" si="2"/>
        <v/>
      </c>
      <c r="B121" s="38" t="str">
        <f>IF(ISBLANK(Charged!B121),"",Charged!B121)</f>
        <v/>
      </c>
      <c r="C121" s="38" t="str">
        <f>IF(ISBLANK(Charged!C121),"",CONCATENATE(Charged!C121,", ",Charged!D121))</f>
        <v/>
      </c>
      <c r="D121" s="38" t="str">
        <f>IF(ISBLANK(Charged!E121),"",Charged!E121)</f>
        <v/>
      </c>
      <c r="E121" s="38" t="str">
        <f>IF(ISBLANK(Charged!F121),"",Charged!F121)</f>
        <v/>
      </c>
      <c r="F121" s="39" t="str">
        <f>IF(ISBLANK(Charged!H121),"",Charged!H121)</f>
        <v/>
      </c>
      <c r="G121" s="37" t="str">
        <f>IF(ISBLANK(Charged!K121),"",Charged!K121)</f>
        <v/>
      </c>
      <c r="H121" s="35" t="str">
        <f t="shared" si="3"/>
        <v/>
      </c>
    </row>
    <row r="122" spans="1:8" s="9" customFormat="1" ht="139.5" customHeight="1">
      <c r="A122" s="35" t="str">
        <f t="shared" si="2"/>
        <v/>
      </c>
      <c r="B122" s="38" t="str">
        <f>IF(ISBLANK(Charged!B122),"",Charged!B122)</f>
        <v/>
      </c>
      <c r="C122" s="38" t="str">
        <f>IF(ISBLANK(Charged!C122),"",CONCATENATE(Charged!C122,", ",Charged!D122))</f>
        <v/>
      </c>
      <c r="D122" s="38" t="str">
        <f>IF(ISBLANK(Charged!E122),"",Charged!E122)</f>
        <v/>
      </c>
      <c r="E122" s="38" t="str">
        <f>IF(ISBLANK(Charged!F122),"",Charged!F122)</f>
        <v/>
      </c>
      <c r="F122" s="39" t="str">
        <f>IF(ISBLANK(Charged!H122),"",Charged!H122)</f>
        <v/>
      </c>
      <c r="G122" s="37" t="str">
        <f>IF(ISBLANK(Charged!K122),"",Charged!K122)</f>
        <v/>
      </c>
      <c r="H122" s="35" t="str">
        <f t="shared" si="3"/>
        <v/>
      </c>
    </row>
    <row r="123" spans="1:8" s="9" customFormat="1" ht="139.5" customHeight="1">
      <c r="A123" s="35" t="str">
        <f t="shared" si="2"/>
        <v/>
      </c>
      <c r="B123" s="38" t="str">
        <f>IF(ISBLANK(Charged!B123),"",Charged!B123)</f>
        <v/>
      </c>
      <c r="C123" s="38" t="str">
        <f>IF(ISBLANK(Charged!C123),"",CONCATENATE(Charged!C123,", ",Charged!D123))</f>
        <v/>
      </c>
      <c r="D123" s="38" t="str">
        <f>IF(ISBLANK(Charged!E123),"",Charged!E123)</f>
        <v/>
      </c>
      <c r="E123" s="38" t="str">
        <f>IF(ISBLANK(Charged!F123),"",Charged!F123)</f>
        <v/>
      </c>
      <c r="F123" s="39" t="str">
        <f>IF(ISBLANK(Charged!H123),"",Charged!H123)</f>
        <v/>
      </c>
      <c r="G123" s="37" t="str">
        <f>IF(ISBLANK(Charged!K123),"",Charged!K123)</f>
        <v/>
      </c>
      <c r="H123" s="35" t="str">
        <f t="shared" si="3"/>
        <v/>
      </c>
    </row>
    <row r="124" spans="1:8" s="9" customFormat="1" ht="139.5" customHeight="1">
      <c r="A124" s="35" t="str">
        <f t="shared" si="2"/>
        <v/>
      </c>
      <c r="B124" s="38" t="str">
        <f>IF(ISBLANK(Charged!B124),"",Charged!B124)</f>
        <v/>
      </c>
      <c r="C124" s="38" t="str">
        <f>IF(ISBLANK(Charged!C124),"",CONCATENATE(Charged!C124,", ",Charged!D124))</f>
        <v/>
      </c>
      <c r="D124" s="38" t="str">
        <f>IF(ISBLANK(Charged!E124),"",Charged!E124)</f>
        <v/>
      </c>
      <c r="E124" s="38" t="str">
        <f>IF(ISBLANK(Charged!F124),"",Charged!F124)</f>
        <v/>
      </c>
      <c r="F124" s="39" t="str">
        <f>IF(ISBLANK(Charged!H124),"",Charged!H124)</f>
        <v/>
      </c>
      <c r="G124" s="37" t="str">
        <f>IF(ISBLANK(Charged!K124),"",Charged!K124)</f>
        <v/>
      </c>
      <c r="H124" s="35" t="str">
        <f t="shared" si="3"/>
        <v/>
      </c>
    </row>
    <row r="125" spans="1:8" s="9" customFormat="1" ht="139.5" customHeight="1">
      <c r="A125" s="35" t="str">
        <f t="shared" si="2"/>
        <v/>
      </c>
      <c r="B125" s="38" t="str">
        <f>IF(ISBLANK(Charged!B125),"",Charged!B125)</f>
        <v/>
      </c>
      <c r="C125" s="38" t="str">
        <f>IF(ISBLANK(Charged!C125),"",CONCATENATE(Charged!C125,", ",Charged!D125))</f>
        <v/>
      </c>
      <c r="D125" s="38" t="str">
        <f>IF(ISBLANK(Charged!E125),"",Charged!E125)</f>
        <v/>
      </c>
      <c r="E125" s="38" t="str">
        <f>IF(ISBLANK(Charged!F125),"",Charged!F125)</f>
        <v/>
      </c>
      <c r="F125" s="39" t="str">
        <f>IF(ISBLANK(Charged!H125),"",Charged!H125)</f>
        <v/>
      </c>
      <c r="G125" s="37" t="str">
        <f>IF(ISBLANK(Charged!K125),"",Charged!K125)</f>
        <v/>
      </c>
      <c r="H125" s="35" t="str">
        <f t="shared" si="3"/>
        <v/>
      </c>
    </row>
    <row r="126" spans="1:8" s="9" customFormat="1" ht="139.5" customHeight="1">
      <c r="A126" s="35" t="str">
        <f t="shared" si="2"/>
        <v/>
      </c>
      <c r="B126" s="38" t="str">
        <f>IF(ISBLANK(Charged!B126),"",Charged!B126)</f>
        <v/>
      </c>
      <c r="C126" s="38" t="str">
        <f>IF(ISBLANK(Charged!C126),"",CONCATENATE(Charged!C126,", ",Charged!D126))</f>
        <v/>
      </c>
      <c r="D126" s="38" t="str">
        <f>IF(ISBLANK(Charged!E126),"",Charged!E126)</f>
        <v/>
      </c>
      <c r="E126" s="38" t="str">
        <f>IF(ISBLANK(Charged!F126),"",Charged!F126)</f>
        <v/>
      </c>
      <c r="F126" s="39" t="str">
        <f>IF(ISBLANK(Charged!H126),"",Charged!H126)</f>
        <v/>
      </c>
      <c r="G126" s="37" t="str">
        <f>IF(ISBLANK(Charged!K126),"",Charged!K126)</f>
        <v/>
      </c>
      <c r="H126" s="35" t="str">
        <f t="shared" si="3"/>
        <v/>
      </c>
    </row>
    <row r="127" spans="1:8" s="9" customFormat="1" ht="139.5" customHeight="1">
      <c r="A127" s="35" t="str">
        <f t="shared" si="2"/>
        <v/>
      </c>
      <c r="B127" s="38" t="str">
        <f>IF(ISBLANK(Charged!B127),"",Charged!B127)</f>
        <v/>
      </c>
      <c r="C127" s="38" t="str">
        <f>IF(ISBLANK(Charged!C127),"",CONCATENATE(Charged!C127,", ",Charged!D127))</f>
        <v/>
      </c>
      <c r="D127" s="38" t="str">
        <f>IF(ISBLANK(Charged!E127),"",Charged!E127)</f>
        <v/>
      </c>
      <c r="E127" s="38" t="str">
        <f>IF(ISBLANK(Charged!F127),"",Charged!F127)</f>
        <v/>
      </c>
      <c r="F127" s="39" t="str">
        <f>IF(ISBLANK(Charged!H127),"",Charged!H127)</f>
        <v/>
      </c>
      <c r="G127" s="37" t="str">
        <f>IF(ISBLANK(Charged!K127),"",Charged!K127)</f>
        <v/>
      </c>
      <c r="H127" s="35" t="str">
        <f t="shared" si="3"/>
        <v/>
      </c>
    </row>
    <row r="128" spans="1:8" s="9" customFormat="1" ht="139.5" customHeight="1">
      <c r="A128" s="35" t="str">
        <f t="shared" si="2"/>
        <v/>
      </c>
      <c r="B128" s="38" t="str">
        <f>IF(ISBLANK(Charged!B128),"",Charged!B128)</f>
        <v/>
      </c>
      <c r="C128" s="38" t="str">
        <f>IF(ISBLANK(Charged!C128),"",CONCATENATE(Charged!C128,", ",Charged!D128))</f>
        <v/>
      </c>
      <c r="D128" s="38" t="str">
        <f>IF(ISBLANK(Charged!E128),"",Charged!E128)</f>
        <v/>
      </c>
      <c r="E128" s="38" t="str">
        <f>IF(ISBLANK(Charged!F128),"",Charged!F128)</f>
        <v/>
      </c>
      <c r="F128" s="39" t="str">
        <f>IF(ISBLANK(Charged!H128),"",Charged!H128)</f>
        <v/>
      </c>
      <c r="G128" s="37" t="str">
        <f>IF(ISBLANK(Charged!K128),"",Charged!K128)</f>
        <v/>
      </c>
      <c r="H128" s="35" t="str">
        <f t="shared" si="3"/>
        <v/>
      </c>
    </row>
    <row r="129" spans="1:8" s="9" customFormat="1" ht="139.5" customHeight="1">
      <c r="A129" s="35" t="str">
        <f t="shared" si="2"/>
        <v/>
      </c>
      <c r="B129" s="38" t="str">
        <f>IF(ISBLANK(Charged!B129),"",Charged!B129)</f>
        <v/>
      </c>
      <c r="C129" s="38" t="str">
        <f>IF(ISBLANK(Charged!C129),"",CONCATENATE(Charged!C129,", ",Charged!D129))</f>
        <v/>
      </c>
      <c r="D129" s="38" t="str">
        <f>IF(ISBLANK(Charged!E129),"",Charged!E129)</f>
        <v/>
      </c>
      <c r="E129" s="38" t="str">
        <f>IF(ISBLANK(Charged!F129),"",Charged!F129)</f>
        <v/>
      </c>
      <c r="F129" s="39" t="str">
        <f>IF(ISBLANK(Charged!H129),"",Charged!H129)</f>
        <v/>
      </c>
      <c r="G129" s="37" t="str">
        <f>IF(ISBLANK(Charged!K129),"",Charged!K129)</f>
        <v/>
      </c>
      <c r="H129" s="35" t="str">
        <f t="shared" si="3"/>
        <v/>
      </c>
    </row>
    <row r="130" spans="1:8" s="9" customFormat="1" ht="139.5" customHeight="1">
      <c r="A130" s="35" t="str">
        <f t="shared" si="2"/>
        <v/>
      </c>
      <c r="B130" s="38" t="str">
        <f>IF(ISBLANK(Charged!B130),"",Charged!B130)</f>
        <v/>
      </c>
      <c r="C130" s="38" t="str">
        <f>IF(ISBLANK(Charged!C130),"",CONCATENATE(Charged!C130,", ",Charged!D130))</f>
        <v/>
      </c>
      <c r="D130" s="38" t="str">
        <f>IF(ISBLANK(Charged!E130),"",Charged!E130)</f>
        <v/>
      </c>
      <c r="E130" s="38" t="str">
        <f>IF(ISBLANK(Charged!F130),"",Charged!F130)</f>
        <v/>
      </c>
      <c r="F130" s="39" t="str">
        <f>IF(ISBLANK(Charged!H130),"",Charged!H130)</f>
        <v/>
      </c>
      <c r="G130" s="37" t="str">
        <f>IF(ISBLANK(Charged!K130),"",Charged!K130)</f>
        <v/>
      </c>
      <c r="H130" s="35" t="str">
        <f t="shared" si="3"/>
        <v/>
      </c>
    </row>
    <row r="131" spans="1:8" s="9" customFormat="1" ht="139.5" customHeight="1">
      <c r="A131" s="35" t="str">
        <f t="shared" ref="A131:A194" si="4">IF(B131="","",CONCATENATE("*",B131,"*"))</f>
        <v/>
      </c>
      <c r="B131" s="38" t="str">
        <f>IF(ISBLANK(Charged!B131),"",Charged!B131)</f>
        <v/>
      </c>
      <c r="C131" s="38" t="str">
        <f>IF(ISBLANK(Charged!C131),"",CONCATENATE(Charged!C131,", ",Charged!D131))</f>
        <v/>
      </c>
      <c r="D131" s="38" t="str">
        <f>IF(ISBLANK(Charged!E131),"",Charged!E131)</f>
        <v/>
      </c>
      <c r="E131" s="38" t="str">
        <f>IF(ISBLANK(Charged!F131),"",Charged!F131)</f>
        <v/>
      </c>
      <c r="F131" s="39" t="str">
        <f>IF(ISBLANK(Charged!H131),"",Charged!H131)</f>
        <v/>
      </c>
      <c r="G131" s="37" t="str">
        <f>IF(ISBLANK(Charged!K131),"",Charged!K131)</f>
        <v/>
      </c>
      <c r="H131" s="35" t="str">
        <f t="shared" ref="H131:H194" si="5">IF(D131="","",CONCATENATE("*",D131,"*"))</f>
        <v/>
      </c>
    </row>
    <row r="132" spans="1:8" s="9" customFormat="1" ht="139.5" customHeight="1">
      <c r="A132" s="35" t="str">
        <f t="shared" si="4"/>
        <v/>
      </c>
      <c r="B132" s="38" t="str">
        <f>IF(ISBLANK(Charged!B132),"",Charged!B132)</f>
        <v/>
      </c>
      <c r="C132" s="38" t="str">
        <f>IF(ISBLANK(Charged!C132),"",CONCATENATE(Charged!C132,", ",Charged!D132))</f>
        <v/>
      </c>
      <c r="D132" s="38" t="str">
        <f>IF(ISBLANK(Charged!E132),"",Charged!E132)</f>
        <v/>
      </c>
      <c r="E132" s="38" t="str">
        <f>IF(ISBLANK(Charged!F132),"",Charged!F132)</f>
        <v/>
      </c>
      <c r="F132" s="39" t="str">
        <f>IF(ISBLANK(Charged!H132),"",Charged!H132)</f>
        <v/>
      </c>
      <c r="G132" s="37" t="str">
        <f>IF(ISBLANK(Charged!K132),"",Charged!K132)</f>
        <v/>
      </c>
      <c r="H132" s="35" t="str">
        <f t="shared" si="5"/>
        <v/>
      </c>
    </row>
    <row r="133" spans="1:8" s="9" customFormat="1" ht="139.5" customHeight="1">
      <c r="A133" s="35" t="str">
        <f t="shared" si="4"/>
        <v/>
      </c>
      <c r="B133" s="38" t="str">
        <f>IF(ISBLANK(Charged!B133),"",Charged!B133)</f>
        <v/>
      </c>
      <c r="C133" s="38" t="str">
        <f>IF(ISBLANK(Charged!C133),"",CONCATENATE(Charged!C133,", ",Charged!D133))</f>
        <v/>
      </c>
      <c r="D133" s="38" t="str">
        <f>IF(ISBLANK(Charged!E133),"",Charged!E133)</f>
        <v/>
      </c>
      <c r="E133" s="38" t="str">
        <f>IF(ISBLANK(Charged!F133),"",Charged!F133)</f>
        <v/>
      </c>
      <c r="F133" s="39" t="str">
        <f>IF(ISBLANK(Charged!H133),"",Charged!H133)</f>
        <v/>
      </c>
      <c r="G133" s="37" t="str">
        <f>IF(ISBLANK(Charged!K133),"",Charged!K133)</f>
        <v/>
      </c>
      <c r="H133" s="35" t="str">
        <f t="shared" si="5"/>
        <v/>
      </c>
    </row>
    <row r="134" spans="1:8" s="9" customFormat="1" ht="139.5" customHeight="1">
      <c r="A134" s="35" t="str">
        <f t="shared" si="4"/>
        <v/>
      </c>
      <c r="B134" s="38" t="str">
        <f>IF(ISBLANK(Charged!B134),"",Charged!B134)</f>
        <v/>
      </c>
      <c r="C134" s="38" t="str">
        <f>IF(ISBLANK(Charged!C134),"",CONCATENATE(Charged!C134,", ",Charged!D134))</f>
        <v/>
      </c>
      <c r="D134" s="38" t="str">
        <f>IF(ISBLANK(Charged!E134),"",Charged!E134)</f>
        <v/>
      </c>
      <c r="E134" s="38" t="str">
        <f>IF(ISBLANK(Charged!F134),"",Charged!F134)</f>
        <v/>
      </c>
      <c r="F134" s="39" t="str">
        <f>IF(ISBLANK(Charged!H134),"",Charged!H134)</f>
        <v/>
      </c>
      <c r="G134" s="37" t="str">
        <f>IF(ISBLANK(Charged!K134),"",Charged!K134)</f>
        <v/>
      </c>
      <c r="H134" s="35" t="str">
        <f t="shared" si="5"/>
        <v/>
      </c>
    </row>
    <row r="135" spans="1:8" s="9" customFormat="1" ht="139.5" customHeight="1">
      <c r="A135" s="35" t="str">
        <f t="shared" si="4"/>
        <v/>
      </c>
      <c r="B135" s="38" t="str">
        <f>IF(ISBLANK(Charged!B135),"",Charged!B135)</f>
        <v/>
      </c>
      <c r="C135" s="38" t="str">
        <f>IF(ISBLANK(Charged!C135),"",CONCATENATE(Charged!C135,", ",Charged!D135))</f>
        <v/>
      </c>
      <c r="D135" s="38" t="str">
        <f>IF(ISBLANK(Charged!E135),"",Charged!E135)</f>
        <v/>
      </c>
      <c r="E135" s="38" t="str">
        <f>IF(ISBLANK(Charged!F135),"",Charged!F135)</f>
        <v/>
      </c>
      <c r="F135" s="39" t="str">
        <f>IF(ISBLANK(Charged!H135),"",Charged!H135)</f>
        <v/>
      </c>
      <c r="G135" s="37" t="str">
        <f>IF(ISBLANK(Charged!K135),"",Charged!K135)</f>
        <v/>
      </c>
      <c r="H135" s="35" t="str">
        <f t="shared" si="5"/>
        <v/>
      </c>
    </row>
    <row r="136" spans="1:8" s="9" customFormat="1" ht="139.5" customHeight="1">
      <c r="A136" s="35" t="str">
        <f t="shared" si="4"/>
        <v/>
      </c>
      <c r="B136" s="38" t="str">
        <f>IF(ISBLANK(Charged!B136),"",Charged!B136)</f>
        <v/>
      </c>
      <c r="C136" s="38" t="str">
        <f>IF(ISBLANK(Charged!C136),"",CONCATENATE(Charged!C136,", ",Charged!D136))</f>
        <v/>
      </c>
      <c r="D136" s="38" t="str">
        <f>IF(ISBLANK(Charged!E136),"",Charged!E136)</f>
        <v/>
      </c>
      <c r="E136" s="38" t="str">
        <f>IF(ISBLANK(Charged!F136),"",Charged!F136)</f>
        <v/>
      </c>
      <c r="F136" s="39" t="str">
        <f>IF(ISBLANK(Charged!H136),"",Charged!H136)</f>
        <v/>
      </c>
      <c r="G136" s="37" t="str">
        <f>IF(ISBLANK(Charged!K136),"",Charged!K136)</f>
        <v/>
      </c>
      <c r="H136" s="35" t="str">
        <f t="shared" si="5"/>
        <v/>
      </c>
    </row>
    <row r="137" spans="1:8" s="9" customFormat="1" ht="139.5" customHeight="1">
      <c r="A137" s="35" t="str">
        <f t="shared" si="4"/>
        <v/>
      </c>
      <c r="B137" s="38" t="str">
        <f>IF(ISBLANK(Charged!B137),"",Charged!B137)</f>
        <v/>
      </c>
      <c r="C137" s="38" t="str">
        <f>IF(ISBLANK(Charged!C137),"",CONCATENATE(Charged!C137,", ",Charged!D137))</f>
        <v/>
      </c>
      <c r="D137" s="38" t="str">
        <f>IF(ISBLANK(Charged!E137),"",Charged!E137)</f>
        <v/>
      </c>
      <c r="E137" s="38" t="str">
        <f>IF(ISBLANK(Charged!F137),"",Charged!F137)</f>
        <v/>
      </c>
      <c r="F137" s="39" t="str">
        <f>IF(ISBLANK(Charged!H137),"",Charged!H137)</f>
        <v/>
      </c>
      <c r="G137" s="37" t="str">
        <f>IF(ISBLANK(Charged!K137),"",Charged!K137)</f>
        <v/>
      </c>
      <c r="H137" s="35" t="str">
        <f t="shared" si="5"/>
        <v/>
      </c>
    </row>
    <row r="138" spans="1:8" s="9" customFormat="1" ht="139.5" customHeight="1">
      <c r="A138" s="35" t="str">
        <f t="shared" si="4"/>
        <v/>
      </c>
      <c r="B138" s="38" t="str">
        <f>IF(ISBLANK(Charged!B138),"",Charged!B138)</f>
        <v/>
      </c>
      <c r="C138" s="38" t="str">
        <f>IF(ISBLANK(Charged!C138),"",CONCATENATE(Charged!C138,", ",Charged!D138))</f>
        <v/>
      </c>
      <c r="D138" s="38" t="str">
        <f>IF(ISBLANK(Charged!E138),"",Charged!E138)</f>
        <v/>
      </c>
      <c r="E138" s="38" t="str">
        <f>IF(ISBLANK(Charged!F138),"",Charged!F138)</f>
        <v/>
      </c>
      <c r="F138" s="39" t="str">
        <f>IF(ISBLANK(Charged!H138),"",Charged!H138)</f>
        <v/>
      </c>
      <c r="G138" s="37" t="str">
        <f>IF(ISBLANK(Charged!K138),"",Charged!K138)</f>
        <v/>
      </c>
      <c r="H138" s="35" t="str">
        <f t="shared" si="5"/>
        <v/>
      </c>
    </row>
    <row r="139" spans="1:8" s="9" customFormat="1" ht="139.5" customHeight="1">
      <c r="A139" s="35" t="str">
        <f t="shared" si="4"/>
        <v/>
      </c>
      <c r="B139" s="38" t="str">
        <f>IF(ISBLANK(Charged!B139),"",Charged!B139)</f>
        <v/>
      </c>
      <c r="C139" s="38" t="str">
        <f>IF(ISBLANK(Charged!C139),"",CONCATENATE(Charged!C139,", ",Charged!D139))</f>
        <v/>
      </c>
      <c r="D139" s="38" t="str">
        <f>IF(ISBLANK(Charged!E139),"",Charged!E139)</f>
        <v/>
      </c>
      <c r="E139" s="38" t="str">
        <f>IF(ISBLANK(Charged!F139),"",Charged!F139)</f>
        <v/>
      </c>
      <c r="F139" s="39" t="str">
        <f>IF(ISBLANK(Charged!H139),"",Charged!H139)</f>
        <v/>
      </c>
      <c r="G139" s="37" t="str">
        <f>IF(ISBLANK(Charged!K139),"",Charged!K139)</f>
        <v/>
      </c>
      <c r="H139" s="35" t="str">
        <f t="shared" si="5"/>
        <v/>
      </c>
    </row>
    <row r="140" spans="1:8" s="9" customFormat="1" ht="139.5" customHeight="1">
      <c r="A140" s="35" t="str">
        <f t="shared" si="4"/>
        <v/>
      </c>
      <c r="B140" s="38" t="str">
        <f>IF(ISBLANK(Charged!B140),"",Charged!B140)</f>
        <v/>
      </c>
      <c r="C140" s="38" t="str">
        <f>IF(ISBLANK(Charged!C140),"",CONCATENATE(Charged!C140,", ",Charged!D140))</f>
        <v/>
      </c>
      <c r="D140" s="38" t="str">
        <f>IF(ISBLANK(Charged!E140),"",Charged!E140)</f>
        <v/>
      </c>
      <c r="E140" s="38" t="str">
        <f>IF(ISBLANK(Charged!F140),"",Charged!F140)</f>
        <v/>
      </c>
      <c r="F140" s="39" t="str">
        <f>IF(ISBLANK(Charged!H140),"",Charged!H140)</f>
        <v/>
      </c>
      <c r="G140" s="37" t="str">
        <f>IF(ISBLANK(Charged!K140),"",Charged!K140)</f>
        <v/>
      </c>
      <c r="H140" s="35" t="str">
        <f t="shared" si="5"/>
        <v/>
      </c>
    </row>
    <row r="141" spans="1:8" s="9" customFormat="1" ht="139.5" customHeight="1">
      <c r="A141" s="35" t="str">
        <f t="shared" si="4"/>
        <v/>
      </c>
      <c r="B141" s="38" t="str">
        <f>IF(ISBLANK(Charged!B141),"",Charged!B141)</f>
        <v/>
      </c>
      <c r="C141" s="38" t="str">
        <f>IF(ISBLANK(Charged!C141),"",CONCATENATE(Charged!C141,", ",Charged!D141))</f>
        <v/>
      </c>
      <c r="D141" s="38" t="str">
        <f>IF(ISBLANK(Charged!E141),"",Charged!E141)</f>
        <v/>
      </c>
      <c r="E141" s="38" t="str">
        <f>IF(ISBLANK(Charged!F141),"",Charged!F141)</f>
        <v/>
      </c>
      <c r="F141" s="39" t="str">
        <f>IF(ISBLANK(Charged!H141),"",Charged!H141)</f>
        <v/>
      </c>
      <c r="G141" s="37" t="str">
        <f>IF(ISBLANK(Charged!K141),"",Charged!K141)</f>
        <v/>
      </c>
      <c r="H141" s="35" t="str">
        <f t="shared" si="5"/>
        <v/>
      </c>
    </row>
    <row r="142" spans="1:8" s="9" customFormat="1" ht="139.5" customHeight="1">
      <c r="A142" s="35" t="str">
        <f t="shared" si="4"/>
        <v/>
      </c>
      <c r="B142" s="38" t="str">
        <f>IF(ISBLANK(Charged!B142),"",Charged!B142)</f>
        <v/>
      </c>
      <c r="C142" s="38" t="str">
        <f>IF(ISBLANK(Charged!C142),"",CONCATENATE(Charged!C142,", ",Charged!D142))</f>
        <v/>
      </c>
      <c r="D142" s="38" t="str">
        <f>IF(ISBLANK(Charged!E142),"",Charged!E142)</f>
        <v/>
      </c>
      <c r="E142" s="38" t="str">
        <f>IF(ISBLANK(Charged!F142),"",Charged!F142)</f>
        <v/>
      </c>
      <c r="F142" s="39" t="str">
        <f>IF(ISBLANK(Charged!H142),"",Charged!H142)</f>
        <v/>
      </c>
      <c r="G142" s="37" t="str">
        <f>IF(ISBLANK(Charged!K142),"",Charged!K142)</f>
        <v/>
      </c>
      <c r="H142" s="35" t="str">
        <f t="shared" si="5"/>
        <v/>
      </c>
    </row>
    <row r="143" spans="1:8" s="9" customFormat="1" ht="139.5" customHeight="1">
      <c r="A143" s="35" t="str">
        <f t="shared" si="4"/>
        <v/>
      </c>
      <c r="B143" s="38" t="str">
        <f>IF(ISBLANK(Charged!B143),"",Charged!B143)</f>
        <v/>
      </c>
      <c r="C143" s="38" t="str">
        <f>IF(ISBLANK(Charged!C143),"",CONCATENATE(Charged!C143,", ",Charged!D143))</f>
        <v/>
      </c>
      <c r="D143" s="38" t="str">
        <f>IF(ISBLANK(Charged!E143),"",Charged!E143)</f>
        <v/>
      </c>
      <c r="E143" s="38" t="str">
        <f>IF(ISBLANK(Charged!F143),"",Charged!F143)</f>
        <v/>
      </c>
      <c r="F143" s="39" t="str">
        <f>IF(ISBLANK(Charged!H143),"",Charged!H143)</f>
        <v/>
      </c>
      <c r="G143" s="37" t="str">
        <f>IF(ISBLANK(Charged!K143),"",Charged!K143)</f>
        <v/>
      </c>
      <c r="H143" s="35" t="str">
        <f t="shared" si="5"/>
        <v/>
      </c>
    </row>
    <row r="144" spans="1:8" s="9" customFormat="1" ht="139.5" customHeight="1">
      <c r="A144" s="35" t="str">
        <f t="shared" si="4"/>
        <v/>
      </c>
      <c r="B144" s="38" t="str">
        <f>IF(ISBLANK(Charged!B144),"",Charged!B144)</f>
        <v/>
      </c>
      <c r="C144" s="38" t="str">
        <f>IF(ISBLANK(Charged!C144),"",CONCATENATE(Charged!C144,", ",Charged!D144))</f>
        <v/>
      </c>
      <c r="D144" s="38" t="str">
        <f>IF(ISBLANK(Charged!E144),"",Charged!E144)</f>
        <v/>
      </c>
      <c r="E144" s="38" t="str">
        <f>IF(ISBLANK(Charged!F144),"",Charged!F144)</f>
        <v/>
      </c>
      <c r="F144" s="39" t="str">
        <f>IF(ISBLANK(Charged!H144),"",Charged!H144)</f>
        <v/>
      </c>
      <c r="G144" s="37" t="str">
        <f>IF(ISBLANK(Charged!K144),"",Charged!K144)</f>
        <v/>
      </c>
      <c r="H144" s="35" t="str">
        <f t="shared" si="5"/>
        <v/>
      </c>
    </row>
    <row r="145" spans="1:8" s="9" customFormat="1" ht="139.5" customHeight="1">
      <c r="A145" s="35" t="str">
        <f t="shared" si="4"/>
        <v/>
      </c>
      <c r="B145" s="38" t="str">
        <f>IF(ISBLANK(Charged!B145),"",Charged!B145)</f>
        <v/>
      </c>
      <c r="C145" s="38" t="str">
        <f>IF(ISBLANK(Charged!C145),"",CONCATENATE(Charged!C145,", ",Charged!D145))</f>
        <v/>
      </c>
      <c r="D145" s="38" t="str">
        <f>IF(ISBLANK(Charged!E145),"",Charged!E145)</f>
        <v/>
      </c>
      <c r="E145" s="38" t="str">
        <f>IF(ISBLANK(Charged!F145),"",Charged!F145)</f>
        <v/>
      </c>
      <c r="F145" s="39" t="str">
        <f>IF(ISBLANK(Charged!H145),"",Charged!H145)</f>
        <v/>
      </c>
      <c r="G145" s="37" t="str">
        <f>IF(ISBLANK(Charged!K145),"",Charged!K145)</f>
        <v/>
      </c>
      <c r="H145" s="35" t="str">
        <f t="shared" si="5"/>
        <v/>
      </c>
    </row>
    <row r="146" spans="1:8" s="9" customFormat="1" ht="139.5" customHeight="1">
      <c r="A146" s="35" t="str">
        <f t="shared" si="4"/>
        <v/>
      </c>
      <c r="B146" s="38" t="str">
        <f>IF(ISBLANK(Charged!B146),"",Charged!B146)</f>
        <v/>
      </c>
      <c r="C146" s="38" t="str">
        <f>IF(ISBLANK(Charged!C146),"",CONCATENATE(Charged!C146,", ",Charged!D146))</f>
        <v/>
      </c>
      <c r="D146" s="38" t="str">
        <f>IF(ISBLANK(Charged!E146),"",Charged!E146)</f>
        <v/>
      </c>
      <c r="E146" s="38" t="str">
        <f>IF(ISBLANK(Charged!F146),"",Charged!F146)</f>
        <v/>
      </c>
      <c r="F146" s="39" t="str">
        <f>IF(ISBLANK(Charged!H146),"",Charged!H146)</f>
        <v/>
      </c>
      <c r="G146" s="37" t="str">
        <f>IF(ISBLANK(Charged!K146),"",Charged!K146)</f>
        <v/>
      </c>
      <c r="H146" s="35" t="str">
        <f t="shared" si="5"/>
        <v/>
      </c>
    </row>
    <row r="147" spans="1:8" s="9" customFormat="1" ht="139.5" customHeight="1">
      <c r="A147" s="35" t="str">
        <f t="shared" si="4"/>
        <v/>
      </c>
      <c r="B147" s="38" t="str">
        <f>IF(ISBLANK(Charged!B147),"",Charged!B147)</f>
        <v/>
      </c>
      <c r="C147" s="38" t="str">
        <f>IF(ISBLANK(Charged!C147),"",CONCATENATE(Charged!C147,", ",Charged!D147))</f>
        <v/>
      </c>
      <c r="D147" s="38" t="str">
        <f>IF(ISBLANK(Charged!E147),"",Charged!E147)</f>
        <v/>
      </c>
      <c r="E147" s="38" t="str">
        <f>IF(ISBLANK(Charged!F147),"",Charged!F147)</f>
        <v/>
      </c>
      <c r="F147" s="39" t="str">
        <f>IF(ISBLANK(Charged!H147),"",Charged!H147)</f>
        <v/>
      </c>
      <c r="G147" s="37" t="str">
        <f>IF(ISBLANK(Charged!K147),"",Charged!K147)</f>
        <v/>
      </c>
      <c r="H147" s="35" t="str">
        <f t="shared" si="5"/>
        <v/>
      </c>
    </row>
    <row r="148" spans="1:8" s="9" customFormat="1" ht="139.5" customHeight="1">
      <c r="A148" s="35" t="str">
        <f t="shared" si="4"/>
        <v/>
      </c>
      <c r="B148" s="38" t="str">
        <f>IF(ISBLANK(Charged!B148),"",Charged!B148)</f>
        <v/>
      </c>
      <c r="C148" s="38" t="str">
        <f>IF(ISBLANK(Charged!C148),"",CONCATENATE(Charged!C148,", ",Charged!D148))</f>
        <v/>
      </c>
      <c r="D148" s="38" t="str">
        <f>IF(ISBLANK(Charged!E148),"",Charged!E148)</f>
        <v/>
      </c>
      <c r="E148" s="38" t="str">
        <f>IF(ISBLANK(Charged!F148),"",Charged!F148)</f>
        <v/>
      </c>
      <c r="F148" s="39" t="str">
        <f>IF(ISBLANK(Charged!H148),"",Charged!H148)</f>
        <v/>
      </c>
      <c r="G148" s="37" t="str">
        <f>IF(ISBLANK(Charged!K148),"",Charged!K148)</f>
        <v/>
      </c>
      <c r="H148" s="35" t="str">
        <f t="shared" si="5"/>
        <v/>
      </c>
    </row>
    <row r="149" spans="1:8" s="9" customFormat="1" ht="139.5" customHeight="1">
      <c r="A149" s="35" t="str">
        <f t="shared" si="4"/>
        <v/>
      </c>
      <c r="B149" s="38" t="str">
        <f>IF(ISBLANK(Charged!B149),"",Charged!B149)</f>
        <v/>
      </c>
      <c r="C149" s="38" t="str">
        <f>IF(ISBLANK(Charged!C149),"",CONCATENATE(Charged!C149,", ",Charged!D149))</f>
        <v/>
      </c>
      <c r="D149" s="38" t="str">
        <f>IF(ISBLANK(Charged!E149),"",Charged!E149)</f>
        <v/>
      </c>
      <c r="E149" s="38" t="str">
        <f>IF(ISBLANK(Charged!F149),"",Charged!F149)</f>
        <v/>
      </c>
      <c r="F149" s="39" t="str">
        <f>IF(ISBLANK(Charged!H149),"",Charged!H149)</f>
        <v/>
      </c>
      <c r="G149" s="37" t="str">
        <f>IF(ISBLANK(Charged!K149),"",Charged!K149)</f>
        <v/>
      </c>
      <c r="H149" s="35" t="str">
        <f t="shared" si="5"/>
        <v/>
      </c>
    </row>
    <row r="150" spans="1:8" s="9" customFormat="1" ht="139.5" customHeight="1">
      <c r="A150" s="35" t="str">
        <f t="shared" si="4"/>
        <v/>
      </c>
      <c r="B150" s="38" t="str">
        <f>IF(ISBLANK(Charged!B150),"",Charged!B150)</f>
        <v/>
      </c>
      <c r="C150" s="38" t="str">
        <f>IF(ISBLANK(Charged!C150),"",CONCATENATE(Charged!C150,", ",Charged!D150))</f>
        <v/>
      </c>
      <c r="D150" s="38" t="str">
        <f>IF(ISBLANK(Charged!E150),"",Charged!E150)</f>
        <v/>
      </c>
      <c r="E150" s="38" t="str">
        <f>IF(ISBLANK(Charged!F150),"",Charged!F150)</f>
        <v/>
      </c>
      <c r="F150" s="39" t="str">
        <f>IF(ISBLANK(Charged!H150),"",Charged!H150)</f>
        <v/>
      </c>
      <c r="G150" s="37" t="str">
        <f>IF(ISBLANK(Charged!K150),"",Charged!K150)</f>
        <v/>
      </c>
      <c r="H150" s="35" t="str">
        <f t="shared" si="5"/>
        <v/>
      </c>
    </row>
    <row r="151" spans="1:8" s="9" customFormat="1" ht="139.5" customHeight="1">
      <c r="A151" s="35" t="str">
        <f t="shared" si="4"/>
        <v/>
      </c>
      <c r="B151" s="38" t="str">
        <f>IF(ISBLANK(Charged!B151),"",Charged!B151)</f>
        <v/>
      </c>
      <c r="C151" s="38" t="str">
        <f>IF(ISBLANK(Charged!C151),"",CONCATENATE(Charged!C151,", ",Charged!D151))</f>
        <v/>
      </c>
      <c r="D151" s="38" t="str">
        <f>IF(ISBLANK(Charged!E151),"",Charged!E151)</f>
        <v/>
      </c>
      <c r="E151" s="38" t="str">
        <f>IF(ISBLANK(Charged!F151),"",Charged!F151)</f>
        <v/>
      </c>
      <c r="F151" s="39" t="str">
        <f>IF(ISBLANK(Charged!H151),"",Charged!H151)</f>
        <v/>
      </c>
      <c r="G151" s="37" t="str">
        <f>IF(ISBLANK(Charged!K151),"",Charged!K151)</f>
        <v/>
      </c>
      <c r="H151" s="35" t="str">
        <f t="shared" si="5"/>
        <v/>
      </c>
    </row>
    <row r="152" spans="1:8" s="9" customFormat="1" ht="139.5" customHeight="1">
      <c r="A152" s="35" t="str">
        <f t="shared" si="4"/>
        <v/>
      </c>
      <c r="B152" s="38" t="str">
        <f>IF(ISBLANK(Charged!B152),"",Charged!B152)</f>
        <v/>
      </c>
      <c r="C152" s="38" t="str">
        <f>IF(ISBLANK(Charged!C152),"",CONCATENATE(Charged!C152,", ",Charged!D152))</f>
        <v/>
      </c>
      <c r="D152" s="38" t="str">
        <f>IF(ISBLANK(Charged!E152),"",Charged!E152)</f>
        <v/>
      </c>
      <c r="E152" s="38" t="str">
        <f>IF(ISBLANK(Charged!F152),"",Charged!F152)</f>
        <v/>
      </c>
      <c r="F152" s="39" t="str">
        <f>IF(ISBLANK(Charged!H152),"",Charged!H152)</f>
        <v/>
      </c>
      <c r="G152" s="37" t="str">
        <f>IF(ISBLANK(Charged!K152),"",Charged!K152)</f>
        <v/>
      </c>
      <c r="H152" s="35" t="str">
        <f t="shared" si="5"/>
        <v/>
      </c>
    </row>
    <row r="153" spans="1:8" s="9" customFormat="1" ht="139.5" customHeight="1">
      <c r="A153" s="35" t="str">
        <f t="shared" si="4"/>
        <v/>
      </c>
      <c r="B153" s="38" t="str">
        <f>IF(ISBLANK(Charged!B153),"",Charged!B153)</f>
        <v/>
      </c>
      <c r="C153" s="38" t="str">
        <f>IF(ISBLANK(Charged!C153),"",CONCATENATE(Charged!C153,", ",Charged!D153))</f>
        <v/>
      </c>
      <c r="D153" s="38" t="str">
        <f>IF(ISBLANK(Charged!E153),"",Charged!E153)</f>
        <v/>
      </c>
      <c r="E153" s="38" t="str">
        <f>IF(ISBLANK(Charged!F153),"",Charged!F153)</f>
        <v/>
      </c>
      <c r="F153" s="39" t="str">
        <f>IF(ISBLANK(Charged!H153),"",Charged!H153)</f>
        <v/>
      </c>
      <c r="G153" s="37" t="str">
        <f>IF(ISBLANK(Charged!K153),"",Charged!K153)</f>
        <v/>
      </c>
      <c r="H153" s="35" t="str">
        <f t="shared" si="5"/>
        <v/>
      </c>
    </row>
    <row r="154" spans="1:8" s="9" customFormat="1" ht="139.5" customHeight="1">
      <c r="A154" s="35" t="str">
        <f t="shared" si="4"/>
        <v/>
      </c>
      <c r="B154" s="38" t="str">
        <f>IF(ISBLANK(Charged!B154),"",Charged!B154)</f>
        <v/>
      </c>
      <c r="C154" s="38" t="str">
        <f>IF(ISBLANK(Charged!C154),"",CONCATENATE(Charged!C154,", ",Charged!D154))</f>
        <v/>
      </c>
      <c r="D154" s="38" t="str">
        <f>IF(ISBLANK(Charged!E154),"",Charged!E154)</f>
        <v/>
      </c>
      <c r="E154" s="38" t="str">
        <f>IF(ISBLANK(Charged!F154),"",Charged!F154)</f>
        <v/>
      </c>
      <c r="F154" s="39" t="str">
        <f>IF(ISBLANK(Charged!H154),"",Charged!H154)</f>
        <v/>
      </c>
      <c r="G154" s="37" t="str">
        <f>IF(ISBLANK(Charged!K154),"",Charged!K154)</f>
        <v/>
      </c>
      <c r="H154" s="35" t="str">
        <f t="shared" si="5"/>
        <v/>
      </c>
    </row>
    <row r="155" spans="1:8" s="9" customFormat="1" ht="139.5" customHeight="1">
      <c r="A155" s="35" t="str">
        <f t="shared" si="4"/>
        <v/>
      </c>
      <c r="B155" s="38" t="str">
        <f>IF(ISBLANK(Charged!B155),"",Charged!B155)</f>
        <v/>
      </c>
      <c r="C155" s="38" t="str">
        <f>IF(ISBLANK(Charged!C155),"",CONCATENATE(Charged!C155,", ",Charged!D155))</f>
        <v/>
      </c>
      <c r="D155" s="38" t="str">
        <f>IF(ISBLANK(Charged!E155),"",Charged!E155)</f>
        <v/>
      </c>
      <c r="E155" s="38" t="str">
        <f>IF(ISBLANK(Charged!F155),"",Charged!F155)</f>
        <v/>
      </c>
      <c r="F155" s="39" t="str">
        <f>IF(ISBLANK(Charged!H155),"",Charged!H155)</f>
        <v/>
      </c>
      <c r="G155" s="37" t="str">
        <f>IF(ISBLANK(Charged!K155),"",Charged!K155)</f>
        <v/>
      </c>
      <c r="H155" s="35" t="str">
        <f t="shared" si="5"/>
        <v/>
      </c>
    </row>
    <row r="156" spans="1:8" s="9" customFormat="1" ht="139.5" customHeight="1">
      <c r="A156" s="35" t="str">
        <f t="shared" si="4"/>
        <v/>
      </c>
      <c r="B156" s="38" t="str">
        <f>IF(ISBLANK(Charged!B156),"",Charged!B156)</f>
        <v/>
      </c>
      <c r="C156" s="38" t="str">
        <f>IF(ISBLANK(Charged!C156),"",CONCATENATE(Charged!C156,", ",Charged!D156))</f>
        <v/>
      </c>
      <c r="D156" s="38" t="str">
        <f>IF(ISBLANK(Charged!E156),"",Charged!E156)</f>
        <v/>
      </c>
      <c r="E156" s="38" t="str">
        <f>IF(ISBLANK(Charged!F156),"",Charged!F156)</f>
        <v/>
      </c>
      <c r="F156" s="39" t="str">
        <f>IF(ISBLANK(Charged!H156),"",Charged!H156)</f>
        <v/>
      </c>
      <c r="G156" s="37" t="str">
        <f>IF(ISBLANK(Charged!K156),"",Charged!K156)</f>
        <v/>
      </c>
      <c r="H156" s="35" t="str">
        <f t="shared" si="5"/>
        <v/>
      </c>
    </row>
    <row r="157" spans="1:8" s="9" customFormat="1" ht="139.5" customHeight="1">
      <c r="A157" s="35" t="str">
        <f t="shared" si="4"/>
        <v/>
      </c>
      <c r="B157" s="38" t="str">
        <f>IF(ISBLANK(Charged!B157),"",Charged!B157)</f>
        <v/>
      </c>
      <c r="C157" s="38" t="str">
        <f>IF(ISBLANK(Charged!C157),"",CONCATENATE(Charged!C157,", ",Charged!D157))</f>
        <v/>
      </c>
      <c r="D157" s="38" t="str">
        <f>IF(ISBLANK(Charged!E157),"",Charged!E157)</f>
        <v/>
      </c>
      <c r="E157" s="38" t="str">
        <f>IF(ISBLANK(Charged!F157),"",Charged!F157)</f>
        <v/>
      </c>
      <c r="F157" s="39" t="str">
        <f>IF(ISBLANK(Charged!H157),"",Charged!H157)</f>
        <v/>
      </c>
      <c r="G157" s="37" t="str">
        <f>IF(ISBLANK(Charged!K157),"",Charged!K157)</f>
        <v/>
      </c>
      <c r="H157" s="35" t="str">
        <f t="shared" si="5"/>
        <v/>
      </c>
    </row>
    <row r="158" spans="1:8" s="9" customFormat="1" ht="139.5" customHeight="1">
      <c r="A158" s="35" t="str">
        <f t="shared" si="4"/>
        <v/>
      </c>
      <c r="B158" s="38" t="str">
        <f>IF(ISBLANK(Charged!B158),"",Charged!B158)</f>
        <v/>
      </c>
      <c r="C158" s="38" t="str">
        <f>IF(ISBLANK(Charged!C158),"",CONCATENATE(Charged!C158,", ",Charged!D158))</f>
        <v/>
      </c>
      <c r="D158" s="38" t="str">
        <f>IF(ISBLANK(Charged!E158),"",Charged!E158)</f>
        <v/>
      </c>
      <c r="E158" s="38" t="str">
        <f>IF(ISBLANK(Charged!F158),"",Charged!F158)</f>
        <v/>
      </c>
      <c r="F158" s="39" t="str">
        <f>IF(ISBLANK(Charged!H158),"",Charged!H158)</f>
        <v/>
      </c>
      <c r="G158" s="37" t="str">
        <f>IF(ISBLANK(Charged!K158),"",Charged!K158)</f>
        <v/>
      </c>
      <c r="H158" s="35" t="str">
        <f t="shared" si="5"/>
        <v/>
      </c>
    </row>
    <row r="159" spans="1:8" s="9" customFormat="1" ht="139.5" customHeight="1">
      <c r="A159" s="35" t="str">
        <f t="shared" si="4"/>
        <v/>
      </c>
      <c r="B159" s="38" t="str">
        <f>IF(ISBLANK(Charged!B159),"",Charged!B159)</f>
        <v/>
      </c>
      <c r="C159" s="38" t="str">
        <f>IF(ISBLANK(Charged!C159),"",CONCATENATE(Charged!C159,", ",Charged!D159))</f>
        <v/>
      </c>
      <c r="D159" s="38" t="str">
        <f>IF(ISBLANK(Charged!E159),"",Charged!E159)</f>
        <v/>
      </c>
      <c r="E159" s="38" t="str">
        <f>IF(ISBLANK(Charged!F159),"",Charged!F159)</f>
        <v/>
      </c>
      <c r="F159" s="39" t="str">
        <f>IF(ISBLANK(Charged!H159),"",Charged!H159)</f>
        <v/>
      </c>
      <c r="G159" s="37" t="str">
        <f>IF(ISBLANK(Charged!K159),"",Charged!K159)</f>
        <v/>
      </c>
      <c r="H159" s="35" t="str">
        <f t="shared" si="5"/>
        <v/>
      </c>
    </row>
    <row r="160" spans="1:8" s="9" customFormat="1" ht="139.5" customHeight="1">
      <c r="A160" s="35" t="str">
        <f t="shared" si="4"/>
        <v/>
      </c>
      <c r="B160" s="38" t="str">
        <f>IF(ISBLANK(Charged!B160),"",Charged!B160)</f>
        <v/>
      </c>
      <c r="C160" s="38" t="str">
        <f>IF(ISBLANK(Charged!C160),"",CONCATENATE(Charged!C160,", ",Charged!D160))</f>
        <v/>
      </c>
      <c r="D160" s="38" t="str">
        <f>IF(ISBLANK(Charged!E160),"",Charged!E160)</f>
        <v/>
      </c>
      <c r="E160" s="38" t="str">
        <f>IF(ISBLANK(Charged!F160),"",Charged!F160)</f>
        <v/>
      </c>
      <c r="F160" s="39" t="str">
        <f>IF(ISBLANK(Charged!H160),"",Charged!H160)</f>
        <v/>
      </c>
      <c r="G160" s="37" t="str">
        <f>IF(ISBLANK(Charged!K160),"",Charged!K160)</f>
        <v/>
      </c>
      <c r="H160" s="35" t="str">
        <f t="shared" si="5"/>
        <v/>
      </c>
    </row>
    <row r="161" spans="1:8" s="9" customFormat="1" ht="139.5" customHeight="1">
      <c r="A161" s="35" t="str">
        <f t="shared" si="4"/>
        <v/>
      </c>
      <c r="B161" s="38" t="str">
        <f>IF(ISBLANK(Charged!B161),"",Charged!B161)</f>
        <v/>
      </c>
      <c r="C161" s="38" t="str">
        <f>IF(ISBLANK(Charged!C161),"",CONCATENATE(Charged!C161,", ",Charged!D161))</f>
        <v/>
      </c>
      <c r="D161" s="38" t="str">
        <f>IF(ISBLANK(Charged!E161),"",Charged!E161)</f>
        <v/>
      </c>
      <c r="E161" s="38" t="str">
        <f>IF(ISBLANK(Charged!F161),"",Charged!F161)</f>
        <v/>
      </c>
      <c r="F161" s="39" t="str">
        <f>IF(ISBLANK(Charged!H161),"",Charged!H161)</f>
        <v/>
      </c>
      <c r="G161" s="37" t="str">
        <f>IF(ISBLANK(Charged!K161),"",Charged!K161)</f>
        <v/>
      </c>
      <c r="H161" s="35" t="str">
        <f t="shared" si="5"/>
        <v/>
      </c>
    </row>
    <row r="162" spans="1:8" s="9" customFormat="1" ht="139.5" customHeight="1">
      <c r="A162" s="35" t="str">
        <f t="shared" si="4"/>
        <v/>
      </c>
      <c r="B162" s="38" t="str">
        <f>IF(ISBLANK(Charged!B162),"",Charged!B162)</f>
        <v/>
      </c>
      <c r="C162" s="38" t="str">
        <f>IF(ISBLANK(Charged!C162),"",CONCATENATE(Charged!C162,", ",Charged!D162))</f>
        <v/>
      </c>
      <c r="D162" s="38" t="str">
        <f>IF(ISBLANK(Charged!E162),"",Charged!E162)</f>
        <v/>
      </c>
      <c r="E162" s="38" t="str">
        <f>IF(ISBLANK(Charged!F162),"",Charged!F162)</f>
        <v/>
      </c>
      <c r="F162" s="39" t="str">
        <f>IF(ISBLANK(Charged!H162),"",Charged!H162)</f>
        <v/>
      </c>
      <c r="G162" s="37" t="str">
        <f>IF(ISBLANK(Charged!K162),"",Charged!K162)</f>
        <v/>
      </c>
      <c r="H162" s="35" t="str">
        <f t="shared" si="5"/>
        <v/>
      </c>
    </row>
    <row r="163" spans="1:8" s="9" customFormat="1" ht="139.5" customHeight="1">
      <c r="A163" s="35" t="str">
        <f t="shared" si="4"/>
        <v/>
      </c>
      <c r="B163" s="38" t="str">
        <f>IF(ISBLANK(Charged!B163),"",Charged!B163)</f>
        <v/>
      </c>
      <c r="C163" s="38" t="str">
        <f>IF(ISBLANK(Charged!C163),"",CONCATENATE(Charged!C163,", ",Charged!D163))</f>
        <v/>
      </c>
      <c r="D163" s="38" t="str">
        <f>IF(ISBLANK(Charged!E163),"",Charged!E163)</f>
        <v/>
      </c>
      <c r="E163" s="38" t="str">
        <f>IF(ISBLANK(Charged!F163),"",Charged!F163)</f>
        <v/>
      </c>
      <c r="F163" s="39" t="str">
        <f>IF(ISBLANK(Charged!H163),"",Charged!H163)</f>
        <v/>
      </c>
      <c r="G163" s="37" t="str">
        <f>IF(ISBLANK(Charged!K163),"",Charged!K163)</f>
        <v/>
      </c>
      <c r="H163" s="35" t="str">
        <f t="shared" si="5"/>
        <v/>
      </c>
    </row>
    <row r="164" spans="1:8" s="9" customFormat="1" ht="139.5" customHeight="1">
      <c r="A164" s="35" t="str">
        <f t="shared" si="4"/>
        <v/>
      </c>
      <c r="B164" s="38" t="str">
        <f>IF(ISBLANK(Charged!B164),"",Charged!B164)</f>
        <v/>
      </c>
      <c r="C164" s="38" t="str">
        <f>IF(ISBLANK(Charged!C164),"",CONCATENATE(Charged!C164,", ",Charged!D164))</f>
        <v/>
      </c>
      <c r="D164" s="38" t="str">
        <f>IF(ISBLANK(Charged!E164),"",Charged!E164)</f>
        <v/>
      </c>
      <c r="E164" s="38" t="str">
        <f>IF(ISBLANK(Charged!F164),"",Charged!F164)</f>
        <v/>
      </c>
      <c r="F164" s="39" t="str">
        <f>IF(ISBLANK(Charged!H164),"",Charged!H164)</f>
        <v/>
      </c>
      <c r="G164" s="37" t="str">
        <f>IF(ISBLANK(Charged!K164),"",Charged!K164)</f>
        <v/>
      </c>
      <c r="H164" s="35" t="str">
        <f t="shared" si="5"/>
        <v/>
      </c>
    </row>
    <row r="165" spans="1:8" s="9" customFormat="1" ht="139.5" customHeight="1">
      <c r="A165" s="35" t="str">
        <f t="shared" si="4"/>
        <v/>
      </c>
      <c r="B165" s="38" t="str">
        <f>IF(ISBLANK(Charged!B165),"",Charged!B165)</f>
        <v/>
      </c>
      <c r="C165" s="38" t="str">
        <f>IF(ISBLANK(Charged!C165),"",CONCATENATE(Charged!C165,", ",Charged!D165))</f>
        <v/>
      </c>
      <c r="D165" s="38" t="str">
        <f>IF(ISBLANK(Charged!E165),"",Charged!E165)</f>
        <v/>
      </c>
      <c r="E165" s="38" t="str">
        <f>IF(ISBLANK(Charged!F165),"",Charged!F165)</f>
        <v/>
      </c>
      <c r="F165" s="39" t="str">
        <f>IF(ISBLANK(Charged!H165),"",Charged!H165)</f>
        <v/>
      </c>
      <c r="G165" s="37" t="str">
        <f>IF(ISBLANK(Charged!K165),"",Charged!K165)</f>
        <v/>
      </c>
      <c r="H165" s="35" t="str">
        <f t="shared" si="5"/>
        <v/>
      </c>
    </row>
    <row r="166" spans="1:8" s="9" customFormat="1" ht="139.5" customHeight="1">
      <c r="A166" s="35" t="str">
        <f t="shared" si="4"/>
        <v/>
      </c>
      <c r="B166" s="38" t="str">
        <f>IF(ISBLANK(Charged!B166),"",Charged!B166)</f>
        <v/>
      </c>
      <c r="C166" s="38" t="str">
        <f>IF(ISBLANK(Charged!C166),"",CONCATENATE(Charged!C166,", ",Charged!D166))</f>
        <v/>
      </c>
      <c r="D166" s="38" t="str">
        <f>IF(ISBLANK(Charged!E166),"",Charged!E166)</f>
        <v/>
      </c>
      <c r="E166" s="38" t="str">
        <f>IF(ISBLANK(Charged!F166),"",Charged!F166)</f>
        <v/>
      </c>
      <c r="F166" s="39" t="str">
        <f>IF(ISBLANK(Charged!H166),"",Charged!H166)</f>
        <v/>
      </c>
      <c r="G166" s="37" t="str">
        <f>IF(ISBLANK(Charged!K166),"",Charged!K166)</f>
        <v/>
      </c>
      <c r="H166" s="35" t="str">
        <f t="shared" si="5"/>
        <v/>
      </c>
    </row>
    <row r="167" spans="1:8" s="9" customFormat="1" ht="139.5" customHeight="1">
      <c r="A167" s="35" t="str">
        <f t="shared" si="4"/>
        <v/>
      </c>
      <c r="B167" s="38" t="str">
        <f>IF(ISBLANK(Charged!B167),"",Charged!B167)</f>
        <v/>
      </c>
      <c r="C167" s="38" t="str">
        <f>IF(ISBLANK(Charged!C167),"",CONCATENATE(Charged!C167,", ",Charged!D167))</f>
        <v/>
      </c>
      <c r="D167" s="38" t="str">
        <f>IF(ISBLANK(Charged!E167),"",Charged!E167)</f>
        <v/>
      </c>
      <c r="E167" s="38" t="str">
        <f>IF(ISBLANK(Charged!F167),"",Charged!F167)</f>
        <v/>
      </c>
      <c r="F167" s="39" t="str">
        <f>IF(ISBLANK(Charged!H167),"",Charged!H167)</f>
        <v/>
      </c>
      <c r="G167" s="37" t="str">
        <f>IF(ISBLANK(Charged!K167),"",Charged!K167)</f>
        <v/>
      </c>
      <c r="H167" s="35" t="str">
        <f t="shared" si="5"/>
        <v/>
      </c>
    </row>
    <row r="168" spans="1:8" s="9" customFormat="1" ht="139.5" customHeight="1">
      <c r="A168" s="35" t="str">
        <f t="shared" si="4"/>
        <v/>
      </c>
      <c r="B168" s="38" t="str">
        <f>IF(ISBLANK(Charged!B168),"",Charged!B168)</f>
        <v/>
      </c>
      <c r="C168" s="38" t="str">
        <f>IF(ISBLANK(Charged!C168),"",CONCATENATE(Charged!C168,", ",Charged!D168))</f>
        <v/>
      </c>
      <c r="D168" s="38" t="str">
        <f>IF(ISBLANK(Charged!E168),"",Charged!E168)</f>
        <v/>
      </c>
      <c r="E168" s="38" t="str">
        <f>IF(ISBLANK(Charged!F168),"",Charged!F168)</f>
        <v/>
      </c>
      <c r="F168" s="39" t="str">
        <f>IF(ISBLANK(Charged!H168),"",Charged!H168)</f>
        <v/>
      </c>
      <c r="G168" s="37" t="str">
        <f>IF(ISBLANK(Charged!K168),"",Charged!K168)</f>
        <v/>
      </c>
      <c r="H168" s="35" t="str">
        <f t="shared" si="5"/>
        <v/>
      </c>
    </row>
    <row r="169" spans="1:8" s="9" customFormat="1" ht="139.5" customHeight="1">
      <c r="A169" s="35" t="str">
        <f t="shared" si="4"/>
        <v/>
      </c>
      <c r="B169" s="38" t="str">
        <f>IF(ISBLANK(Charged!B169),"",Charged!B169)</f>
        <v/>
      </c>
      <c r="C169" s="38" t="str">
        <f>IF(ISBLANK(Charged!C169),"",CONCATENATE(Charged!C169,", ",Charged!D169))</f>
        <v/>
      </c>
      <c r="D169" s="38" t="str">
        <f>IF(ISBLANK(Charged!E169),"",Charged!E169)</f>
        <v/>
      </c>
      <c r="E169" s="38" t="str">
        <f>IF(ISBLANK(Charged!F169),"",Charged!F169)</f>
        <v/>
      </c>
      <c r="F169" s="39" t="str">
        <f>IF(ISBLANK(Charged!H169),"",Charged!H169)</f>
        <v/>
      </c>
      <c r="G169" s="37" t="str">
        <f>IF(ISBLANK(Charged!K169),"",Charged!K169)</f>
        <v/>
      </c>
      <c r="H169" s="35" t="str">
        <f t="shared" si="5"/>
        <v/>
      </c>
    </row>
    <row r="170" spans="1:8" s="9" customFormat="1" ht="139.5" customHeight="1">
      <c r="A170" s="35" t="str">
        <f t="shared" si="4"/>
        <v/>
      </c>
      <c r="B170" s="38" t="str">
        <f>IF(ISBLANK(Charged!B170),"",Charged!B170)</f>
        <v/>
      </c>
      <c r="C170" s="38" t="str">
        <f>IF(ISBLANK(Charged!C170),"",CONCATENATE(Charged!C170,", ",Charged!D170))</f>
        <v/>
      </c>
      <c r="D170" s="38" t="str">
        <f>IF(ISBLANK(Charged!E170),"",Charged!E170)</f>
        <v/>
      </c>
      <c r="E170" s="38" t="str">
        <f>IF(ISBLANK(Charged!F170),"",Charged!F170)</f>
        <v/>
      </c>
      <c r="F170" s="39" t="str">
        <f>IF(ISBLANK(Charged!H170),"",Charged!H170)</f>
        <v/>
      </c>
      <c r="G170" s="37" t="str">
        <f>IF(ISBLANK(Charged!K170),"",Charged!K170)</f>
        <v/>
      </c>
      <c r="H170" s="35" t="str">
        <f t="shared" si="5"/>
        <v/>
      </c>
    </row>
    <row r="171" spans="1:8" s="9" customFormat="1" ht="139.5" customHeight="1">
      <c r="A171" s="35" t="str">
        <f t="shared" si="4"/>
        <v/>
      </c>
      <c r="B171" s="38" t="str">
        <f>IF(ISBLANK(Charged!B171),"",Charged!B171)</f>
        <v/>
      </c>
      <c r="C171" s="38" t="str">
        <f>IF(ISBLANK(Charged!C171),"",CONCATENATE(Charged!C171,", ",Charged!D171))</f>
        <v/>
      </c>
      <c r="D171" s="38" t="str">
        <f>IF(ISBLANK(Charged!E171),"",Charged!E171)</f>
        <v/>
      </c>
      <c r="E171" s="38" t="str">
        <f>IF(ISBLANK(Charged!F171),"",Charged!F171)</f>
        <v/>
      </c>
      <c r="F171" s="39" t="str">
        <f>IF(ISBLANK(Charged!H171),"",Charged!H171)</f>
        <v/>
      </c>
      <c r="G171" s="37" t="str">
        <f>IF(ISBLANK(Charged!K171),"",Charged!K171)</f>
        <v/>
      </c>
      <c r="H171" s="35" t="str">
        <f t="shared" si="5"/>
        <v/>
      </c>
    </row>
    <row r="172" spans="1:8" s="9" customFormat="1" ht="139.5" customHeight="1">
      <c r="A172" s="35" t="str">
        <f t="shared" si="4"/>
        <v/>
      </c>
      <c r="B172" s="38" t="str">
        <f>IF(ISBLANK(Charged!B172),"",Charged!B172)</f>
        <v/>
      </c>
      <c r="C172" s="38" t="str">
        <f>IF(ISBLANK(Charged!C172),"",CONCATENATE(Charged!C172,", ",Charged!D172))</f>
        <v/>
      </c>
      <c r="D172" s="38" t="str">
        <f>IF(ISBLANK(Charged!E172),"",Charged!E172)</f>
        <v/>
      </c>
      <c r="E172" s="38" t="str">
        <f>IF(ISBLANK(Charged!F172),"",Charged!F172)</f>
        <v/>
      </c>
      <c r="F172" s="39" t="str">
        <f>IF(ISBLANK(Charged!H172),"",Charged!H172)</f>
        <v/>
      </c>
      <c r="G172" s="37" t="str">
        <f>IF(ISBLANK(Charged!K172),"",Charged!K172)</f>
        <v/>
      </c>
      <c r="H172" s="35" t="str">
        <f t="shared" si="5"/>
        <v/>
      </c>
    </row>
    <row r="173" spans="1:8" s="9" customFormat="1" ht="139.5" customHeight="1">
      <c r="A173" s="35" t="str">
        <f t="shared" si="4"/>
        <v/>
      </c>
      <c r="B173" s="38" t="str">
        <f>IF(ISBLANK(Charged!B173),"",Charged!B173)</f>
        <v/>
      </c>
      <c r="C173" s="38" t="str">
        <f>IF(ISBLANK(Charged!C173),"",CONCATENATE(Charged!C173,", ",Charged!D173))</f>
        <v/>
      </c>
      <c r="D173" s="38" t="str">
        <f>IF(ISBLANK(Charged!E173),"",Charged!E173)</f>
        <v/>
      </c>
      <c r="E173" s="38" t="str">
        <f>IF(ISBLANK(Charged!F173),"",Charged!F173)</f>
        <v/>
      </c>
      <c r="F173" s="39" t="str">
        <f>IF(ISBLANK(Charged!H173),"",Charged!H173)</f>
        <v/>
      </c>
      <c r="G173" s="37" t="str">
        <f>IF(ISBLANK(Charged!K173),"",Charged!K173)</f>
        <v/>
      </c>
      <c r="H173" s="35" t="str">
        <f t="shared" si="5"/>
        <v/>
      </c>
    </row>
    <row r="174" spans="1:8" s="9" customFormat="1" ht="139.5" customHeight="1">
      <c r="A174" s="35" t="str">
        <f t="shared" si="4"/>
        <v/>
      </c>
      <c r="B174" s="38" t="str">
        <f>IF(ISBLANK(Charged!B174),"",Charged!B174)</f>
        <v/>
      </c>
      <c r="C174" s="38" t="str">
        <f>IF(ISBLANK(Charged!C174),"",CONCATENATE(Charged!C174,", ",Charged!D174))</f>
        <v/>
      </c>
      <c r="D174" s="38" t="str">
        <f>IF(ISBLANK(Charged!E174),"",Charged!E174)</f>
        <v/>
      </c>
      <c r="E174" s="38" t="str">
        <f>IF(ISBLANK(Charged!F174),"",Charged!F174)</f>
        <v/>
      </c>
      <c r="F174" s="39" t="str">
        <f>IF(ISBLANK(Charged!H174),"",Charged!H174)</f>
        <v/>
      </c>
      <c r="G174" s="37" t="str">
        <f>IF(ISBLANK(Charged!K174),"",Charged!K174)</f>
        <v/>
      </c>
      <c r="H174" s="35" t="str">
        <f t="shared" si="5"/>
        <v/>
      </c>
    </row>
    <row r="175" spans="1:8" s="9" customFormat="1" ht="139.5" customHeight="1">
      <c r="A175" s="35" t="str">
        <f t="shared" si="4"/>
        <v/>
      </c>
      <c r="B175" s="38" t="str">
        <f>IF(ISBLANK(Charged!B175),"",Charged!B175)</f>
        <v/>
      </c>
      <c r="C175" s="38" t="str">
        <f>IF(ISBLANK(Charged!C175),"",CONCATENATE(Charged!C175,", ",Charged!D175))</f>
        <v/>
      </c>
      <c r="D175" s="38" t="str">
        <f>IF(ISBLANK(Charged!E175),"",Charged!E175)</f>
        <v/>
      </c>
      <c r="E175" s="38" t="str">
        <f>IF(ISBLANK(Charged!F175),"",Charged!F175)</f>
        <v/>
      </c>
      <c r="F175" s="39" t="str">
        <f>IF(ISBLANK(Charged!H175),"",Charged!H175)</f>
        <v/>
      </c>
      <c r="G175" s="37" t="str">
        <f>IF(ISBLANK(Charged!K175),"",Charged!K175)</f>
        <v/>
      </c>
      <c r="H175" s="35" t="str">
        <f t="shared" si="5"/>
        <v/>
      </c>
    </row>
    <row r="176" spans="1:8" s="9" customFormat="1" ht="139.5" customHeight="1">
      <c r="A176" s="35" t="str">
        <f t="shared" si="4"/>
        <v/>
      </c>
      <c r="B176" s="38" t="str">
        <f>IF(ISBLANK(Charged!B176),"",Charged!B176)</f>
        <v/>
      </c>
      <c r="C176" s="38" t="str">
        <f>IF(ISBLANK(Charged!C176),"",CONCATENATE(Charged!C176,", ",Charged!D176))</f>
        <v/>
      </c>
      <c r="D176" s="38" t="str">
        <f>IF(ISBLANK(Charged!E176),"",Charged!E176)</f>
        <v/>
      </c>
      <c r="E176" s="38" t="str">
        <f>IF(ISBLANK(Charged!F176),"",Charged!F176)</f>
        <v/>
      </c>
      <c r="F176" s="39" t="str">
        <f>IF(ISBLANK(Charged!H176),"",Charged!H176)</f>
        <v/>
      </c>
      <c r="G176" s="37" t="str">
        <f>IF(ISBLANK(Charged!K176),"",Charged!K176)</f>
        <v/>
      </c>
      <c r="H176" s="35" t="str">
        <f t="shared" si="5"/>
        <v/>
      </c>
    </row>
    <row r="177" spans="1:8" s="9" customFormat="1" ht="139.5" customHeight="1">
      <c r="A177" s="35" t="str">
        <f t="shared" si="4"/>
        <v/>
      </c>
      <c r="B177" s="38" t="str">
        <f>IF(ISBLANK(Charged!B177),"",Charged!B177)</f>
        <v/>
      </c>
      <c r="C177" s="38" t="str">
        <f>IF(ISBLANK(Charged!C177),"",CONCATENATE(Charged!C177,", ",Charged!D177))</f>
        <v/>
      </c>
      <c r="D177" s="38" t="str">
        <f>IF(ISBLANK(Charged!E177),"",Charged!E177)</f>
        <v/>
      </c>
      <c r="E177" s="38" t="str">
        <f>IF(ISBLANK(Charged!F177),"",Charged!F177)</f>
        <v/>
      </c>
      <c r="F177" s="39" t="str">
        <f>IF(ISBLANK(Charged!H177),"",Charged!H177)</f>
        <v/>
      </c>
      <c r="G177" s="37" t="str">
        <f>IF(ISBLANK(Charged!K177),"",Charged!K177)</f>
        <v/>
      </c>
      <c r="H177" s="35" t="str">
        <f t="shared" si="5"/>
        <v/>
      </c>
    </row>
    <row r="178" spans="1:8" s="9" customFormat="1" ht="139.5" customHeight="1">
      <c r="A178" s="35" t="str">
        <f t="shared" si="4"/>
        <v/>
      </c>
      <c r="B178" s="38" t="str">
        <f>IF(ISBLANK(Charged!B178),"",Charged!B178)</f>
        <v/>
      </c>
      <c r="C178" s="38" t="str">
        <f>IF(ISBLANK(Charged!C178),"",CONCATENATE(Charged!C178,", ",Charged!D178))</f>
        <v/>
      </c>
      <c r="D178" s="38" t="str">
        <f>IF(ISBLANK(Charged!E178),"",Charged!E178)</f>
        <v/>
      </c>
      <c r="E178" s="38" t="str">
        <f>IF(ISBLANK(Charged!F178),"",Charged!F178)</f>
        <v/>
      </c>
      <c r="F178" s="39" t="str">
        <f>IF(ISBLANK(Charged!H178),"",Charged!H178)</f>
        <v/>
      </c>
      <c r="G178" s="37" t="str">
        <f>IF(ISBLANK(Charged!K178),"",Charged!K178)</f>
        <v/>
      </c>
      <c r="H178" s="35" t="str">
        <f t="shared" si="5"/>
        <v/>
      </c>
    </row>
    <row r="179" spans="1:8" s="9" customFormat="1" ht="139.5" customHeight="1">
      <c r="A179" s="35" t="str">
        <f t="shared" si="4"/>
        <v/>
      </c>
      <c r="B179" s="38" t="str">
        <f>IF(ISBLANK(Charged!B179),"",Charged!B179)</f>
        <v/>
      </c>
      <c r="C179" s="38" t="str">
        <f>IF(ISBLANK(Charged!C179),"",CONCATENATE(Charged!C179,", ",Charged!D179))</f>
        <v/>
      </c>
      <c r="D179" s="38" t="str">
        <f>IF(ISBLANK(Charged!E179),"",Charged!E179)</f>
        <v/>
      </c>
      <c r="E179" s="38" t="str">
        <f>IF(ISBLANK(Charged!F179),"",Charged!F179)</f>
        <v/>
      </c>
      <c r="F179" s="39" t="str">
        <f>IF(ISBLANK(Charged!H179),"",Charged!H179)</f>
        <v/>
      </c>
      <c r="G179" s="37" t="str">
        <f>IF(ISBLANK(Charged!K179),"",Charged!K179)</f>
        <v/>
      </c>
      <c r="H179" s="35" t="str">
        <f t="shared" si="5"/>
        <v/>
      </c>
    </row>
    <row r="180" spans="1:8" s="9" customFormat="1" ht="139.5" customHeight="1">
      <c r="A180" s="35" t="str">
        <f t="shared" si="4"/>
        <v/>
      </c>
      <c r="B180" s="38" t="str">
        <f>IF(ISBLANK(Charged!B180),"",Charged!B180)</f>
        <v/>
      </c>
      <c r="C180" s="38" t="str">
        <f>IF(ISBLANK(Charged!C180),"",CONCATENATE(Charged!C180,", ",Charged!D180))</f>
        <v/>
      </c>
      <c r="D180" s="38" t="str">
        <f>IF(ISBLANK(Charged!E180),"",Charged!E180)</f>
        <v/>
      </c>
      <c r="E180" s="38" t="str">
        <f>IF(ISBLANK(Charged!F180),"",Charged!F180)</f>
        <v/>
      </c>
      <c r="F180" s="39" t="str">
        <f>IF(ISBLANK(Charged!H180),"",Charged!H180)</f>
        <v/>
      </c>
      <c r="G180" s="37" t="str">
        <f>IF(ISBLANK(Charged!K180),"",Charged!K180)</f>
        <v/>
      </c>
      <c r="H180" s="35" t="str">
        <f t="shared" si="5"/>
        <v/>
      </c>
    </row>
    <row r="181" spans="1:8" s="9" customFormat="1" ht="139.5" customHeight="1">
      <c r="A181" s="35" t="str">
        <f t="shared" si="4"/>
        <v/>
      </c>
      <c r="B181" s="38" t="str">
        <f>IF(ISBLANK(Charged!B181),"",Charged!B181)</f>
        <v/>
      </c>
      <c r="C181" s="38" t="str">
        <f>IF(ISBLANK(Charged!C181),"",CONCATENATE(Charged!C181,", ",Charged!D181))</f>
        <v/>
      </c>
      <c r="D181" s="38" t="str">
        <f>IF(ISBLANK(Charged!E181),"",Charged!E181)</f>
        <v/>
      </c>
      <c r="E181" s="38" t="str">
        <f>IF(ISBLANK(Charged!F181),"",Charged!F181)</f>
        <v/>
      </c>
      <c r="F181" s="39" t="str">
        <f>IF(ISBLANK(Charged!H181),"",Charged!H181)</f>
        <v/>
      </c>
      <c r="G181" s="37" t="str">
        <f>IF(ISBLANK(Charged!K181),"",Charged!K181)</f>
        <v/>
      </c>
      <c r="H181" s="35" t="str">
        <f t="shared" si="5"/>
        <v/>
      </c>
    </row>
    <row r="182" spans="1:8" s="9" customFormat="1" ht="139.5" customHeight="1">
      <c r="A182" s="35" t="str">
        <f t="shared" si="4"/>
        <v/>
      </c>
      <c r="B182" s="38" t="str">
        <f>IF(ISBLANK(Charged!B182),"",Charged!B182)</f>
        <v/>
      </c>
      <c r="C182" s="38" t="str">
        <f>IF(ISBLANK(Charged!C182),"",CONCATENATE(Charged!C182,", ",Charged!D182))</f>
        <v/>
      </c>
      <c r="D182" s="38" t="str">
        <f>IF(ISBLANK(Charged!E182),"",Charged!E182)</f>
        <v/>
      </c>
      <c r="E182" s="38" t="str">
        <f>IF(ISBLANK(Charged!F182),"",Charged!F182)</f>
        <v/>
      </c>
      <c r="F182" s="39" t="str">
        <f>IF(ISBLANK(Charged!H182),"",Charged!H182)</f>
        <v/>
      </c>
      <c r="G182" s="37" t="str">
        <f>IF(ISBLANK(Charged!K182),"",Charged!K182)</f>
        <v/>
      </c>
      <c r="H182" s="35" t="str">
        <f t="shared" si="5"/>
        <v/>
      </c>
    </row>
    <row r="183" spans="1:8" s="9" customFormat="1" ht="139.5" customHeight="1">
      <c r="A183" s="35" t="str">
        <f t="shared" si="4"/>
        <v/>
      </c>
      <c r="B183" s="38" t="str">
        <f>IF(ISBLANK(Charged!B183),"",Charged!B183)</f>
        <v/>
      </c>
      <c r="C183" s="38" t="str">
        <f>IF(ISBLANK(Charged!C183),"",CONCATENATE(Charged!C183,", ",Charged!D183))</f>
        <v/>
      </c>
      <c r="D183" s="38" t="str">
        <f>IF(ISBLANK(Charged!E183),"",Charged!E183)</f>
        <v/>
      </c>
      <c r="E183" s="38" t="str">
        <f>IF(ISBLANK(Charged!F183),"",Charged!F183)</f>
        <v/>
      </c>
      <c r="F183" s="39" t="str">
        <f>IF(ISBLANK(Charged!H183),"",Charged!H183)</f>
        <v/>
      </c>
      <c r="G183" s="37" t="str">
        <f>IF(ISBLANK(Charged!K183),"",Charged!K183)</f>
        <v/>
      </c>
      <c r="H183" s="35" t="str">
        <f t="shared" si="5"/>
        <v/>
      </c>
    </row>
    <row r="184" spans="1:8" s="9" customFormat="1" ht="139.5" customHeight="1">
      <c r="A184" s="35" t="str">
        <f t="shared" si="4"/>
        <v/>
      </c>
      <c r="B184" s="38" t="str">
        <f>IF(ISBLANK(Charged!B184),"",Charged!B184)</f>
        <v/>
      </c>
      <c r="C184" s="38" t="str">
        <f>IF(ISBLANK(Charged!C184),"",CONCATENATE(Charged!C184,", ",Charged!D184))</f>
        <v/>
      </c>
      <c r="D184" s="38" t="str">
        <f>IF(ISBLANK(Charged!E184),"",Charged!E184)</f>
        <v/>
      </c>
      <c r="E184" s="38" t="str">
        <f>IF(ISBLANK(Charged!F184),"",Charged!F184)</f>
        <v/>
      </c>
      <c r="F184" s="39" t="str">
        <f>IF(ISBLANK(Charged!H184),"",Charged!H184)</f>
        <v/>
      </c>
      <c r="G184" s="37" t="str">
        <f>IF(ISBLANK(Charged!K184),"",Charged!K184)</f>
        <v/>
      </c>
      <c r="H184" s="35" t="str">
        <f t="shared" si="5"/>
        <v/>
      </c>
    </row>
    <row r="185" spans="1:8" s="9" customFormat="1" ht="139.5" customHeight="1">
      <c r="A185" s="35" t="str">
        <f t="shared" si="4"/>
        <v/>
      </c>
      <c r="B185" s="38" t="str">
        <f>IF(ISBLANK(Charged!B185),"",Charged!B185)</f>
        <v/>
      </c>
      <c r="C185" s="38" t="str">
        <f>IF(ISBLANK(Charged!C185),"",CONCATENATE(Charged!C185,", ",Charged!D185))</f>
        <v/>
      </c>
      <c r="D185" s="38" t="str">
        <f>IF(ISBLANK(Charged!E185),"",Charged!E185)</f>
        <v/>
      </c>
      <c r="E185" s="38" t="str">
        <f>IF(ISBLANK(Charged!F185),"",Charged!F185)</f>
        <v/>
      </c>
      <c r="F185" s="39" t="str">
        <f>IF(ISBLANK(Charged!H185),"",Charged!H185)</f>
        <v/>
      </c>
      <c r="G185" s="37" t="str">
        <f>IF(ISBLANK(Charged!K185),"",Charged!K185)</f>
        <v/>
      </c>
      <c r="H185" s="35" t="str">
        <f t="shared" si="5"/>
        <v/>
      </c>
    </row>
    <row r="186" spans="1:8" s="9" customFormat="1" ht="139.5" customHeight="1">
      <c r="A186" s="35" t="str">
        <f t="shared" si="4"/>
        <v/>
      </c>
      <c r="B186" s="38" t="str">
        <f>IF(ISBLANK(Charged!B186),"",Charged!B186)</f>
        <v/>
      </c>
      <c r="C186" s="38" t="str">
        <f>IF(ISBLANK(Charged!C186),"",CONCATENATE(Charged!C186,", ",Charged!D186))</f>
        <v/>
      </c>
      <c r="D186" s="38" t="str">
        <f>IF(ISBLANK(Charged!E186),"",Charged!E186)</f>
        <v/>
      </c>
      <c r="E186" s="38" t="str">
        <f>IF(ISBLANK(Charged!F186),"",Charged!F186)</f>
        <v/>
      </c>
      <c r="F186" s="39" t="str">
        <f>IF(ISBLANK(Charged!H186),"",Charged!H186)</f>
        <v/>
      </c>
      <c r="G186" s="37" t="str">
        <f>IF(ISBLANK(Charged!K186),"",Charged!K186)</f>
        <v/>
      </c>
      <c r="H186" s="35" t="str">
        <f t="shared" si="5"/>
        <v/>
      </c>
    </row>
    <row r="187" spans="1:8" s="9" customFormat="1" ht="139.5" customHeight="1">
      <c r="A187" s="35" t="str">
        <f t="shared" si="4"/>
        <v/>
      </c>
      <c r="B187" s="38" t="str">
        <f>IF(ISBLANK(Charged!B187),"",Charged!B187)</f>
        <v/>
      </c>
      <c r="C187" s="38" t="str">
        <f>IF(ISBLANK(Charged!C187),"",CONCATENATE(Charged!C187,", ",Charged!D187))</f>
        <v/>
      </c>
      <c r="D187" s="38" t="str">
        <f>IF(ISBLANK(Charged!E187),"",Charged!E187)</f>
        <v/>
      </c>
      <c r="E187" s="38" t="str">
        <f>IF(ISBLANK(Charged!F187),"",Charged!F187)</f>
        <v/>
      </c>
      <c r="F187" s="39" t="str">
        <f>IF(ISBLANK(Charged!H187),"",Charged!H187)</f>
        <v/>
      </c>
      <c r="G187" s="37" t="str">
        <f>IF(ISBLANK(Charged!K187),"",Charged!K187)</f>
        <v/>
      </c>
      <c r="H187" s="35" t="str">
        <f t="shared" si="5"/>
        <v/>
      </c>
    </row>
    <row r="188" spans="1:8" s="9" customFormat="1" ht="139.5" customHeight="1">
      <c r="A188" s="35" t="str">
        <f t="shared" si="4"/>
        <v/>
      </c>
      <c r="B188" s="38" t="str">
        <f>IF(ISBLANK(Charged!B188),"",Charged!B188)</f>
        <v/>
      </c>
      <c r="C188" s="38" t="str">
        <f>IF(ISBLANK(Charged!C188),"",CONCATENATE(Charged!C188,", ",Charged!D188))</f>
        <v/>
      </c>
      <c r="D188" s="38" t="str">
        <f>IF(ISBLANK(Charged!E188),"",Charged!E188)</f>
        <v/>
      </c>
      <c r="E188" s="38" t="str">
        <f>IF(ISBLANK(Charged!F188),"",Charged!F188)</f>
        <v/>
      </c>
      <c r="F188" s="39" t="str">
        <f>IF(ISBLANK(Charged!H188),"",Charged!H188)</f>
        <v/>
      </c>
      <c r="G188" s="37" t="str">
        <f>IF(ISBLANK(Charged!K188),"",Charged!K188)</f>
        <v/>
      </c>
      <c r="H188" s="35" t="str">
        <f t="shared" si="5"/>
        <v/>
      </c>
    </row>
    <row r="189" spans="1:8" s="9" customFormat="1" ht="139.5" customHeight="1">
      <c r="A189" s="35" t="str">
        <f t="shared" si="4"/>
        <v/>
      </c>
      <c r="B189" s="38" t="str">
        <f>IF(ISBLANK(Charged!B189),"",Charged!B189)</f>
        <v/>
      </c>
      <c r="C189" s="38" t="str">
        <f>IF(ISBLANK(Charged!C189),"",CONCATENATE(Charged!C189,", ",Charged!D189))</f>
        <v/>
      </c>
      <c r="D189" s="38" t="str">
        <f>IF(ISBLANK(Charged!E189),"",Charged!E189)</f>
        <v/>
      </c>
      <c r="E189" s="38" t="str">
        <f>IF(ISBLANK(Charged!F189),"",Charged!F189)</f>
        <v/>
      </c>
      <c r="F189" s="39" t="str">
        <f>IF(ISBLANK(Charged!H189),"",Charged!H189)</f>
        <v/>
      </c>
      <c r="G189" s="37" t="str">
        <f>IF(ISBLANK(Charged!K189),"",Charged!K189)</f>
        <v/>
      </c>
      <c r="H189" s="35" t="str">
        <f t="shared" si="5"/>
        <v/>
      </c>
    </row>
    <row r="190" spans="1:8" s="9" customFormat="1" ht="139.5" customHeight="1">
      <c r="A190" s="35" t="str">
        <f t="shared" si="4"/>
        <v/>
      </c>
      <c r="B190" s="38" t="str">
        <f>IF(ISBLANK(Charged!B190),"",Charged!B190)</f>
        <v/>
      </c>
      <c r="C190" s="38" t="str">
        <f>IF(ISBLANK(Charged!C190),"",CONCATENATE(Charged!C190,", ",Charged!D190))</f>
        <v/>
      </c>
      <c r="D190" s="38" t="str">
        <f>IF(ISBLANK(Charged!E190),"",Charged!E190)</f>
        <v/>
      </c>
      <c r="E190" s="38" t="str">
        <f>IF(ISBLANK(Charged!F190),"",Charged!F190)</f>
        <v/>
      </c>
      <c r="F190" s="39" t="str">
        <f>IF(ISBLANK(Charged!H190),"",Charged!H190)</f>
        <v/>
      </c>
      <c r="G190" s="37" t="str">
        <f>IF(ISBLANK(Charged!K190),"",Charged!K190)</f>
        <v/>
      </c>
      <c r="H190" s="35" t="str">
        <f t="shared" si="5"/>
        <v/>
      </c>
    </row>
    <row r="191" spans="1:8" s="9" customFormat="1" ht="139.5" customHeight="1">
      <c r="A191" s="35" t="str">
        <f t="shared" si="4"/>
        <v/>
      </c>
      <c r="B191" s="38" t="str">
        <f>IF(ISBLANK(Charged!B191),"",Charged!B191)</f>
        <v/>
      </c>
      <c r="C191" s="38" t="str">
        <f>IF(ISBLANK(Charged!C191),"",CONCATENATE(Charged!C191,", ",Charged!D191))</f>
        <v/>
      </c>
      <c r="D191" s="38" t="str">
        <f>IF(ISBLANK(Charged!E191),"",Charged!E191)</f>
        <v/>
      </c>
      <c r="E191" s="38" t="str">
        <f>IF(ISBLANK(Charged!F191),"",Charged!F191)</f>
        <v/>
      </c>
      <c r="F191" s="39" t="str">
        <f>IF(ISBLANK(Charged!H191),"",Charged!H191)</f>
        <v/>
      </c>
      <c r="G191" s="37" t="str">
        <f>IF(ISBLANK(Charged!K191),"",Charged!K191)</f>
        <v/>
      </c>
      <c r="H191" s="35" t="str">
        <f t="shared" si="5"/>
        <v/>
      </c>
    </row>
    <row r="192" spans="1:8" s="9" customFormat="1" ht="139.5" customHeight="1">
      <c r="A192" s="35" t="str">
        <f t="shared" si="4"/>
        <v/>
      </c>
      <c r="B192" s="38" t="str">
        <f>IF(ISBLANK(Charged!B192),"",Charged!B192)</f>
        <v/>
      </c>
      <c r="C192" s="38" t="str">
        <f>IF(ISBLANK(Charged!C192),"",CONCATENATE(Charged!C192,", ",Charged!D192))</f>
        <v/>
      </c>
      <c r="D192" s="38" t="str">
        <f>IF(ISBLANK(Charged!E192),"",Charged!E192)</f>
        <v/>
      </c>
      <c r="E192" s="38" t="str">
        <f>IF(ISBLANK(Charged!F192),"",Charged!F192)</f>
        <v/>
      </c>
      <c r="F192" s="39" t="str">
        <f>IF(ISBLANK(Charged!H192),"",Charged!H192)</f>
        <v/>
      </c>
      <c r="G192" s="37" t="str">
        <f>IF(ISBLANK(Charged!K192),"",Charged!K192)</f>
        <v/>
      </c>
      <c r="H192" s="35" t="str">
        <f t="shared" si="5"/>
        <v/>
      </c>
    </row>
    <row r="193" spans="1:8" s="9" customFormat="1" ht="139.5" customHeight="1">
      <c r="A193" s="35" t="str">
        <f t="shared" si="4"/>
        <v/>
      </c>
      <c r="B193" s="38" t="str">
        <f>IF(ISBLANK(Charged!B193),"",Charged!B193)</f>
        <v/>
      </c>
      <c r="C193" s="38" t="str">
        <f>IF(ISBLANK(Charged!C193),"",CONCATENATE(Charged!C193,", ",Charged!D193))</f>
        <v/>
      </c>
      <c r="D193" s="38" t="str">
        <f>IF(ISBLANK(Charged!E193),"",Charged!E193)</f>
        <v/>
      </c>
      <c r="E193" s="38" t="str">
        <f>IF(ISBLANK(Charged!F193),"",Charged!F193)</f>
        <v/>
      </c>
      <c r="F193" s="39" t="str">
        <f>IF(ISBLANK(Charged!H193),"",Charged!H193)</f>
        <v/>
      </c>
      <c r="G193" s="37" t="str">
        <f>IF(ISBLANK(Charged!K193),"",Charged!K193)</f>
        <v/>
      </c>
      <c r="H193" s="35" t="str">
        <f t="shared" si="5"/>
        <v/>
      </c>
    </row>
    <row r="194" spans="1:8" s="9" customFormat="1" ht="139.5" customHeight="1">
      <c r="A194" s="35" t="str">
        <f t="shared" si="4"/>
        <v/>
      </c>
      <c r="B194" s="38" t="str">
        <f>IF(ISBLANK(Charged!B194),"",Charged!B194)</f>
        <v/>
      </c>
      <c r="C194" s="38" t="str">
        <f>IF(ISBLANK(Charged!C194),"",CONCATENATE(Charged!C194,", ",Charged!D194))</f>
        <v/>
      </c>
      <c r="D194" s="38" t="str">
        <f>IF(ISBLANK(Charged!E194),"",Charged!E194)</f>
        <v/>
      </c>
      <c r="E194" s="38" t="str">
        <f>IF(ISBLANK(Charged!F194),"",Charged!F194)</f>
        <v/>
      </c>
      <c r="F194" s="39" t="str">
        <f>IF(ISBLANK(Charged!H194),"",Charged!H194)</f>
        <v/>
      </c>
      <c r="G194" s="37" t="str">
        <f>IF(ISBLANK(Charged!K194),"",Charged!K194)</f>
        <v/>
      </c>
      <c r="H194" s="35" t="str">
        <f t="shared" si="5"/>
        <v/>
      </c>
    </row>
    <row r="195" spans="1:8" s="9" customFormat="1" ht="139.5" customHeight="1">
      <c r="A195" s="35" t="str">
        <f t="shared" ref="A195:A258" si="6">IF(B195="","",CONCATENATE("*",B195,"*"))</f>
        <v/>
      </c>
      <c r="B195" s="38" t="str">
        <f>IF(ISBLANK(Charged!B195),"",Charged!B195)</f>
        <v/>
      </c>
      <c r="C195" s="38" t="str">
        <f>IF(ISBLANK(Charged!C195),"",CONCATENATE(Charged!C195,", ",Charged!D195))</f>
        <v/>
      </c>
      <c r="D195" s="38" t="str">
        <f>IF(ISBLANK(Charged!E195),"",Charged!E195)</f>
        <v/>
      </c>
      <c r="E195" s="38" t="str">
        <f>IF(ISBLANK(Charged!F195),"",Charged!F195)</f>
        <v/>
      </c>
      <c r="F195" s="39" t="str">
        <f>IF(ISBLANK(Charged!H195),"",Charged!H195)</f>
        <v/>
      </c>
      <c r="G195" s="37" t="str">
        <f>IF(ISBLANK(Charged!K195),"",Charged!K195)</f>
        <v/>
      </c>
      <c r="H195" s="35" t="str">
        <f t="shared" ref="H195:H258" si="7">IF(D195="","",CONCATENATE("*",D195,"*"))</f>
        <v/>
      </c>
    </row>
    <row r="196" spans="1:8" s="9" customFormat="1" ht="139.5" customHeight="1">
      <c r="A196" s="35" t="str">
        <f t="shared" si="6"/>
        <v/>
      </c>
      <c r="B196" s="38" t="str">
        <f>IF(ISBLANK(Charged!B196),"",Charged!B196)</f>
        <v/>
      </c>
      <c r="C196" s="38" t="str">
        <f>IF(ISBLANK(Charged!C196),"",CONCATENATE(Charged!C196,", ",Charged!D196))</f>
        <v/>
      </c>
      <c r="D196" s="38" t="str">
        <f>IF(ISBLANK(Charged!E196),"",Charged!E196)</f>
        <v/>
      </c>
      <c r="E196" s="38" t="str">
        <f>IF(ISBLANK(Charged!F196),"",Charged!F196)</f>
        <v/>
      </c>
      <c r="F196" s="39" t="str">
        <f>IF(ISBLANK(Charged!H196),"",Charged!H196)</f>
        <v/>
      </c>
      <c r="G196" s="37" t="str">
        <f>IF(ISBLANK(Charged!K196),"",Charged!K196)</f>
        <v/>
      </c>
      <c r="H196" s="35" t="str">
        <f t="shared" si="7"/>
        <v/>
      </c>
    </row>
    <row r="197" spans="1:8" s="9" customFormat="1" ht="139.5" customHeight="1">
      <c r="A197" s="35" t="str">
        <f t="shared" si="6"/>
        <v/>
      </c>
      <c r="B197" s="38" t="str">
        <f>IF(ISBLANK(Charged!B197),"",Charged!B197)</f>
        <v/>
      </c>
      <c r="C197" s="38" t="str">
        <f>IF(ISBLANK(Charged!C197),"",CONCATENATE(Charged!C197,", ",Charged!D197))</f>
        <v/>
      </c>
      <c r="D197" s="38" t="str">
        <f>IF(ISBLANK(Charged!E197),"",Charged!E197)</f>
        <v/>
      </c>
      <c r="E197" s="38" t="str">
        <f>IF(ISBLANK(Charged!F197),"",Charged!F197)</f>
        <v/>
      </c>
      <c r="F197" s="39" t="str">
        <f>IF(ISBLANK(Charged!H197),"",Charged!H197)</f>
        <v/>
      </c>
      <c r="G197" s="37" t="str">
        <f>IF(ISBLANK(Charged!K197),"",Charged!K197)</f>
        <v/>
      </c>
      <c r="H197" s="35" t="str">
        <f t="shared" si="7"/>
        <v/>
      </c>
    </row>
    <row r="198" spans="1:8" s="9" customFormat="1" ht="139.5" customHeight="1">
      <c r="A198" s="35" t="str">
        <f t="shared" si="6"/>
        <v/>
      </c>
      <c r="B198" s="38" t="str">
        <f>IF(ISBLANK(Charged!B198),"",Charged!B198)</f>
        <v/>
      </c>
      <c r="C198" s="38" t="str">
        <f>IF(ISBLANK(Charged!C198),"",CONCATENATE(Charged!C198,", ",Charged!D198))</f>
        <v/>
      </c>
      <c r="D198" s="38" t="str">
        <f>IF(ISBLANK(Charged!E198),"",Charged!E198)</f>
        <v/>
      </c>
      <c r="E198" s="38" t="str">
        <f>IF(ISBLANK(Charged!F198),"",Charged!F198)</f>
        <v/>
      </c>
      <c r="F198" s="39" t="str">
        <f>IF(ISBLANK(Charged!H198),"",Charged!H198)</f>
        <v/>
      </c>
      <c r="G198" s="37" t="str">
        <f>IF(ISBLANK(Charged!K198),"",Charged!K198)</f>
        <v/>
      </c>
      <c r="H198" s="35" t="str">
        <f t="shared" si="7"/>
        <v/>
      </c>
    </row>
    <row r="199" spans="1:8" s="9" customFormat="1" ht="139.5" customHeight="1">
      <c r="A199" s="35" t="str">
        <f t="shared" si="6"/>
        <v/>
      </c>
      <c r="B199" s="38" t="str">
        <f>IF(ISBLANK(Charged!B199),"",Charged!B199)</f>
        <v/>
      </c>
      <c r="C199" s="38" t="str">
        <f>IF(ISBLANK(Charged!C199),"",CONCATENATE(Charged!C199,", ",Charged!D199))</f>
        <v/>
      </c>
      <c r="D199" s="38" t="str">
        <f>IF(ISBLANK(Charged!E199),"",Charged!E199)</f>
        <v/>
      </c>
      <c r="E199" s="38" t="str">
        <f>IF(ISBLANK(Charged!F199),"",Charged!F199)</f>
        <v/>
      </c>
      <c r="F199" s="39" t="str">
        <f>IF(ISBLANK(Charged!H199),"",Charged!H199)</f>
        <v/>
      </c>
      <c r="G199" s="37" t="str">
        <f>IF(ISBLANK(Charged!K199),"",Charged!K199)</f>
        <v/>
      </c>
      <c r="H199" s="35" t="str">
        <f t="shared" si="7"/>
        <v/>
      </c>
    </row>
    <row r="200" spans="1:8" s="9" customFormat="1" ht="139.5" customHeight="1">
      <c r="A200" s="35" t="str">
        <f t="shared" si="6"/>
        <v/>
      </c>
      <c r="B200" s="38" t="str">
        <f>IF(ISBLANK(Charged!B200),"",Charged!B200)</f>
        <v/>
      </c>
      <c r="C200" s="38" t="str">
        <f>IF(ISBLANK(Charged!C200),"",CONCATENATE(Charged!C200,", ",Charged!D200))</f>
        <v/>
      </c>
      <c r="D200" s="38" t="str">
        <f>IF(ISBLANK(Charged!E200),"",Charged!E200)</f>
        <v/>
      </c>
      <c r="E200" s="38" t="str">
        <f>IF(ISBLANK(Charged!F200),"",Charged!F200)</f>
        <v/>
      </c>
      <c r="F200" s="39" t="str">
        <f>IF(ISBLANK(Charged!H200),"",Charged!H200)</f>
        <v/>
      </c>
      <c r="G200" s="37" t="str">
        <f>IF(ISBLANK(Charged!K200),"",Charged!K200)</f>
        <v/>
      </c>
      <c r="H200" s="35" t="str">
        <f t="shared" si="7"/>
        <v/>
      </c>
    </row>
    <row r="201" spans="1:8" s="9" customFormat="1" ht="139.5" customHeight="1">
      <c r="A201" s="35" t="str">
        <f t="shared" si="6"/>
        <v/>
      </c>
      <c r="B201" s="38" t="str">
        <f>IF(ISBLANK(Charged!B201),"",Charged!B201)</f>
        <v/>
      </c>
      <c r="C201" s="38" t="str">
        <f>IF(ISBLANK(Charged!C201),"",CONCATENATE(Charged!C201,", ",Charged!D201))</f>
        <v/>
      </c>
      <c r="D201" s="38" t="str">
        <f>IF(ISBLANK(Charged!E201),"",Charged!E201)</f>
        <v/>
      </c>
      <c r="E201" s="38" t="str">
        <f>IF(ISBLANK(Charged!F201),"",Charged!F201)</f>
        <v/>
      </c>
      <c r="F201" s="39" t="str">
        <f>IF(ISBLANK(Charged!H201),"",Charged!H201)</f>
        <v/>
      </c>
      <c r="G201" s="37" t="str">
        <f>IF(ISBLANK(Charged!K201),"",Charged!K201)</f>
        <v/>
      </c>
      <c r="H201" s="35" t="str">
        <f t="shared" si="7"/>
        <v/>
      </c>
    </row>
    <row r="202" spans="1:8" s="9" customFormat="1" ht="139.5" customHeight="1">
      <c r="A202" s="35" t="str">
        <f t="shared" si="6"/>
        <v/>
      </c>
      <c r="B202" s="38" t="str">
        <f>IF(ISBLANK(Charged!B202),"",Charged!B202)</f>
        <v/>
      </c>
      <c r="C202" s="38" t="str">
        <f>IF(ISBLANK(Charged!C202),"",CONCATENATE(Charged!C202,", ",Charged!D202))</f>
        <v/>
      </c>
      <c r="D202" s="38" t="str">
        <f>IF(ISBLANK(Charged!E202),"",Charged!E202)</f>
        <v/>
      </c>
      <c r="E202" s="38" t="str">
        <f>IF(ISBLANK(Charged!F202),"",Charged!F202)</f>
        <v/>
      </c>
      <c r="F202" s="39" t="str">
        <f>IF(ISBLANK(Charged!H202),"",Charged!H202)</f>
        <v/>
      </c>
      <c r="G202" s="37" t="str">
        <f>IF(ISBLANK(Charged!K202),"",Charged!K202)</f>
        <v/>
      </c>
      <c r="H202" s="35" t="str">
        <f t="shared" si="7"/>
        <v/>
      </c>
    </row>
    <row r="203" spans="1:8" s="9" customFormat="1" ht="139.5" customHeight="1">
      <c r="A203" s="35" t="str">
        <f t="shared" si="6"/>
        <v/>
      </c>
      <c r="B203" s="38" t="str">
        <f>IF(ISBLANK(Charged!B203),"",Charged!B203)</f>
        <v/>
      </c>
      <c r="C203" s="38" t="str">
        <f>IF(ISBLANK(Charged!C203),"",CONCATENATE(Charged!C203,", ",Charged!D203))</f>
        <v/>
      </c>
      <c r="D203" s="38" t="str">
        <f>IF(ISBLANK(Charged!E203),"",Charged!E203)</f>
        <v/>
      </c>
      <c r="E203" s="38" t="str">
        <f>IF(ISBLANK(Charged!F203),"",Charged!F203)</f>
        <v/>
      </c>
      <c r="F203" s="39" t="str">
        <f>IF(ISBLANK(Charged!H203),"",Charged!H203)</f>
        <v/>
      </c>
      <c r="G203" s="37" t="str">
        <f>IF(ISBLANK(Charged!K203),"",Charged!K203)</f>
        <v/>
      </c>
      <c r="H203" s="35" t="str">
        <f t="shared" si="7"/>
        <v/>
      </c>
    </row>
    <row r="204" spans="1:8" s="9" customFormat="1" ht="139.5" customHeight="1">
      <c r="A204" s="35" t="str">
        <f t="shared" si="6"/>
        <v/>
      </c>
      <c r="B204" s="38" t="str">
        <f>IF(ISBLANK(Charged!B204),"",Charged!B204)</f>
        <v/>
      </c>
      <c r="C204" s="38" t="str">
        <f>IF(ISBLANK(Charged!C204),"",CONCATENATE(Charged!C204,", ",Charged!D204))</f>
        <v/>
      </c>
      <c r="D204" s="38" t="str">
        <f>IF(ISBLANK(Charged!E204),"",Charged!E204)</f>
        <v/>
      </c>
      <c r="E204" s="38" t="str">
        <f>IF(ISBLANK(Charged!F204),"",Charged!F204)</f>
        <v/>
      </c>
      <c r="F204" s="39" t="str">
        <f>IF(ISBLANK(Charged!H204),"",Charged!H204)</f>
        <v/>
      </c>
      <c r="G204" s="37" t="str">
        <f>IF(ISBLANK(Charged!K204),"",Charged!K204)</f>
        <v/>
      </c>
      <c r="H204" s="35" t="str">
        <f t="shared" si="7"/>
        <v/>
      </c>
    </row>
    <row r="205" spans="1:8" s="9" customFormat="1" ht="139.5" customHeight="1">
      <c r="A205" s="35" t="str">
        <f t="shared" si="6"/>
        <v/>
      </c>
      <c r="B205" s="38" t="str">
        <f>IF(ISBLANK(Charged!B205),"",Charged!B205)</f>
        <v/>
      </c>
      <c r="C205" s="38" t="str">
        <f>IF(ISBLANK(Charged!C205),"",CONCATENATE(Charged!C205,", ",Charged!D205))</f>
        <v/>
      </c>
      <c r="D205" s="38" t="str">
        <f>IF(ISBLANK(Charged!E205),"",Charged!E205)</f>
        <v/>
      </c>
      <c r="E205" s="38" t="str">
        <f>IF(ISBLANK(Charged!F205),"",Charged!F205)</f>
        <v/>
      </c>
      <c r="F205" s="39" t="str">
        <f>IF(ISBLANK(Charged!H205),"",Charged!H205)</f>
        <v/>
      </c>
      <c r="G205" s="37" t="str">
        <f>IF(ISBLANK(Charged!K205),"",Charged!K205)</f>
        <v/>
      </c>
      <c r="H205" s="35" t="str">
        <f t="shared" si="7"/>
        <v/>
      </c>
    </row>
    <row r="206" spans="1:8" s="9" customFormat="1" ht="139.5" customHeight="1">
      <c r="A206" s="35" t="str">
        <f t="shared" si="6"/>
        <v/>
      </c>
      <c r="B206" s="38" t="str">
        <f>IF(ISBLANK(Charged!B206),"",Charged!B206)</f>
        <v/>
      </c>
      <c r="C206" s="38" t="str">
        <f>IF(ISBLANK(Charged!C206),"",CONCATENATE(Charged!C206,", ",Charged!D206))</f>
        <v/>
      </c>
      <c r="D206" s="38" t="str">
        <f>IF(ISBLANK(Charged!E206),"",Charged!E206)</f>
        <v/>
      </c>
      <c r="E206" s="38" t="str">
        <f>IF(ISBLANK(Charged!F206),"",Charged!F206)</f>
        <v/>
      </c>
      <c r="F206" s="39" t="str">
        <f>IF(ISBLANK(Charged!H206),"",Charged!H206)</f>
        <v/>
      </c>
      <c r="G206" s="37" t="str">
        <f>IF(ISBLANK(Charged!K206),"",Charged!K206)</f>
        <v/>
      </c>
      <c r="H206" s="35" t="str">
        <f t="shared" si="7"/>
        <v/>
      </c>
    </row>
    <row r="207" spans="1:8" s="9" customFormat="1" ht="139.5" customHeight="1">
      <c r="A207" s="35" t="str">
        <f t="shared" si="6"/>
        <v/>
      </c>
      <c r="B207" s="38" t="str">
        <f>IF(ISBLANK(Charged!B207),"",Charged!B207)</f>
        <v/>
      </c>
      <c r="C207" s="38" t="str">
        <f>IF(ISBLANK(Charged!C207),"",CONCATENATE(Charged!C207,", ",Charged!D207))</f>
        <v/>
      </c>
      <c r="D207" s="38" t="str">
        <f>IF(ISBLANK(Charged!E207),"",Charged!E207)</f>
        <v/>
      </c>
      <c r="E207" s="38" t="str">
        <f>IF(ISBLANK(Charged!F207),"",Charged!F207)</f>
        <v/>
      </c>
      <c r="F207" s="39" t="str">
        <f>IF(ISBLANK(Charged!H207),"",Charged!H207)</f>
        <v/>
      </c>
      <c r="G207" s="37" t="str">
        <f>IF(ISBLANK(Charged!K207),"",Charged!K207)</f>
        <v/>
      </c>
      <c r="H207" s="35" t="str">
        <f t="shared" si="7"/>
        <v/>
      </c>
    </row>
    <row r="208" spans="1:8" s="9" customFormat="1" ht="139.5" customHeight="1">
      <c r="A208" s="35" t="str">
        <f t="shared" si="6"/>
        <v/>
      </c>
      <c r="B208" s="38" t="str">
        <f>IF(ISBLANK(Charged!B208),"",Charged!B208)</f>
        <v/>
      </c>
      <c r="C208" s="38" t="str">
        <f>IF(ISBLANK(Charged!C208),"",CONCATENATE(Charged!C208,", ",Charged!D208))</f>
        <v/>
      </c>
      <c r="D208" s="38" t="str">
        <f>IF(ISBLANK(Charged!E208),"",Charged!E208)</f>
        <v/>
      </c>
      <c r="E208" s="38" t="str">
        <f>IF(ISBLANK(Charged!F208),"",Charged!F208)</f>
        <v/>
      </c>
      <c r="F208" s="39" t="str">
        <f>IF(ISBLANK(Charged!H208),"",Charged!H208)</f>
        <v/>
      </c>
      <c r="G208" s="37" t="str">
        <f>IF(ISBLANK(Charged!K208),"",Charged!K208)</f>
        <v/>
      </c>
      <c r="H208" s="35" t="str">
        <f t="shared" si="7"/>
        <v/>
      </c>
    </row>
    <row r="209" spans="1:8" s="9" customFormat="1" ht="139.5" customHeight="1">
      <c r="A209" s="35" t="str">
        <f t="shared" si="6"/>
        <v/>
      </c>
      <c r="B209" s="38" t="str">
        <f>IF(ISBLANK(Charged!B209),"",Charged!B209)</f>
        <v/>
      </c>
      <c r="C209" s="38" t="str">
        <f>IF(ISBLANK(Charged!C209),"",CONCATENATE(Charged!C209,", ",Charged!D209))</f>
        <v/>
      </c>
      <c r="D209" s="38" t="str">
        <f>IF(ISBLANK(Charged!E209),"",Charged!E209)</f>
        <v/>
      </c>
      <c r="E209" s="38" t="str">
        <f>IF(ISBLANK(Charged!F209),"",Charged!F209)</f>
        <v/>
      </c>
      <c r="F209" s="39" t="str">
        <f>IF(ISBLANK(Charged!H209),"",Charged!H209)</f>
        <v/>
      </c>
      <c r="G209" s="37" t="str">
        <f>IF(ISBLANK(Charged!K209),"",Charged!K209)</f>
        <v/>
      </c>
      <c r="H209" s="35" t="str">
        <f t="shared" si="7"/>
        <v/>
      </c>
    </row>
    <row r="210" spans="1:8" s="9" customFormat="1" ht="139.5" customHeight="1">
      <c r="A210" s="35" t="str">
        <f t="shared" si="6"/>
        <v/>
      </c>
      <c r="B210" s="38" t="str">
        <f>IF(ISBLANK(Charged!B210),"",Charged!B210)</f>
        <v/>
      </c>
      <c r="C210" s="38" t="str">
        <f>IF(ISBLANK(Charged!C210),"",CONCATENATE(Charged!C210,", ",Charged!D210))</f>
        <v/>
      </c>
      <c r="D210" s="38" t="str">
        <f>IF(ISBLANK(Charged!E210),"",Charged!E210)</f>
        <v/>
      </c>
      <c r="E210" s="38" t="str">
        <f>IF(ISBLANK(Charged!F210),"",Charged!F210)</f>
        <v/>
      </c>
      <c r="F210" s="39" t="str">
        <f>IF(ISBLANK(Charged!H210),"",Charged!H210)</f>
        <v/>
      </c>
      <c r="G210" s="37" t="str">
        <f>IF(ISBLANK(Charged!K210),"",Charged!K210)</f>
        <v/>
      </c>
      <c r="H210" s="35" t="str">
        <f t="shared" si="7"/>
        <v/>
      </c>
    </row>
    <row r="211" spans="1:8" s="9" customFormat="1" ht="139.5" customHeight="1">
      <c r="A211" s="35" t="str">
        <f t="shared" si="6"/>
        <v/>
      </c>
      <c r="B211" s="38" t="str">
        <f>IF(ISBLANK(Charged!B211),"",Charged!B211)</f>
        <v/>
      </c>
      <c r="C211" s="38" t="str">
        <f>IF(ISBLANK(Charged!C211),"",CONCATENATE(Charged!C211,", ",Charged!D211))</f>
        <v/>
      </c>
      <c r="D211" s="38" t="str">
        <f>IF(ISBLANK(Charged!E211),"",Charged!E211)</f>
        <v/>
      </c>
      <c r="E211" s="38" t="str">
        <f>IF(ISBLANK(Charged!F211),"",Charged!F211)</f>
        <v/>
      </c>
      <c r="F211" s="39" t="str">
        <f>IF(ISBLANK(Charged!H211),"",Charged!H211)</f>
        <v/>
      </c>
      <c r="G211" s="37" t="str">
        <f>IF(ISBLANK(Charged!K211),"",Charged!K211)</f>
        <v/>
      </c>
      <c r="H211" s="35" t="str">
        <f t="shared" si="7"/>
        <v/>
      </c>
    </row>
    <row r="212" spans="1:8" s="9" customFormat="1" ht="139.5" customHeight="1">
      <c r="A212" s="35" t="str">
        <f t="shared" si="6"/>
        <v/>
      </c>
      <c r="B212" s="38" t="str">
        <f>IF(ISBLANK(Charged!B212),"",Charged!B212)</f>
        <v/>
      </c>
      <c r="C212" s="38" t="str">
        <f>IF(ISBLANK(Charged!C212),"",CONCATENATE(Charged!C212,", ",Charged!D212))</f>
        <v/>
      </c>
      <c r="D212" s="38" t="str">
        <f>IF(ISBLANK(Charged!E212),"",Charged!E212)</f>
        <v/>
      </c>
      <c r="E212" s="38" t="str">
        <f>IF(ISBLANK(Charged!F212),"",Charged!F212)</f>
        <v/>
      </c>
      <c r="F212" s="39" t="str">
        <f>IF(ISBLANK(Charged!H212),"",Charged!H212)</f>
        <v/>
      </c>
      <c r="G212" s="37" t="str">
        <f>IF(ISBLANK(Charged!K212),"",Charged!K212)</f>
        <v/>
      </c>
      <c r="H212" s="35" t="str">
        <f t="shared" si="7"/>
        <v/>
      </c>
    </row>
    <row r="213" spans="1:8" s="9" customFormat="1" ht="139.5" customHeight="1">
      <c r="A213" s="35" t="str">
        <f t="shared" si="6"/>
        <v/>
      </c>
      <c r="B213" s="38" t="str">
        <f>IF(ISBLANK(Charged!B213),"",Charged!B213)</f>
        <v/>
      </c>
      <c r="C213" s="38" t="str">
        <f>IF(ISBLANK(Charged!C213),"",CONCATENATE(Charged!C213,", ",Charged!D213))</f>
        <v/>
      </c>
      <c r="D213" s="38" t="str">
        <f>IF(ISBLANK(Charged!E213),"",Charged!E213)</f>
        <v/>
      </c>
      <c r="E213" s="38" t="str">
        <f>IF(ISBLANK(Charged!F213),"",Charged!F213)</f>
        <v/>
      </c>
      <c r="F213" s="39" t="str">
        <f>IF(ISBLANK(Charged!H213),"",Charged!H213)</f>
        <v/>
      </c>
      <c r="G213" s="37" t="str">
        <f>IF(ISBLANK(Charged!K213),"",Charged!K213)</f>
        <v/>
      </c>
      <c r="H213" s="35" t="str">
        <f t="shared" si="7"/>
        <v/>
      </c>
    </row>
    <row r="214" spans="1:8" s="9" customFormat="1" ht="139.5" customHeight="1">
      <c r="A214" s="35" t="str">
        <f t="shared" si="6"/>
        <v/>
      </c>
      <c r="B214" s="38" t="str">
        <f>IF(ISBLANK(Charged!B214),"",Charged!B214)</f>
        <v/>
      </c>
      <c r="C214" s="38" t="str">
        <f>IF(ISBLANK(Charged!C214),"",CONCATENATE(Charged!C214,", ",Charged!D214))</f>
        <v/>
      </c>
      <c r="D214" s="38" t="str">
        <f>IF(ISBLANK(Charged!E214),"",Charged!E214)</f>
        <v/>
      </c>
      <c r="E214" s="38" t="str">
        <f>IF(ISBLANK(Charged!F214),"",Charged!F214)</f>
        <v/>
      </c>
      <c r="F214" s="39" t="str">
        <f>IF(ISBLANK(Charged!H214),"",Charged!H214)</f>
        <v/>
      </c>
      <c r="G214" s="37" t="str">
        <f>IF(ISBLANK(Charged!K214),"",Charged!K214)</f>
        <v/>
      </c>
      <c r="H214" s="35" t="str">
        <f t="shared" si="7"/>
        <v/>
      </c>
    </row>
    <row r="215" spans="1:8" s="9" customFormat="1" ht="139.5" customHeight="1">
      <c r="A215" s="35" t="str">
        <f t="shared" si="6"/>
        <v/>
      </c>
      <c r="B215" s="38" t="str">
        <f>IF(ISBLANK(Charged!B215),"",Charged!B215)</f>
        <v/>
      </c>
      <c r="C215" s="38" t="str">
        <f>IF(ISBLANK(Charged!C215),"",CONCATENATE(Charged!C215,", ",Charged!D215))</f>
        <v/>
      </c>
      <c r="D215" s="38" t="str">
        <f>IF(ISBLANK(Charged!E215),"",Charged!E215)</f>
        <v/>
      </c>
      <c r="E215" s="38" t="str">
        <f>IF(ISBLANK(Charged!F215),"",Charged!F215)</f>
        <v/>
      </c>
      <c r="F215" s="39" t="str">
        <f>IF(ISBLANK(Charged!H215),"",Charged!H215)</f>
        <v/>
      </c>
      <c r="G215" s="37" t="str">
        <f>IF(ISBLANK(Charged!K215),"",Charged!K215)</f>
        <v/>
      </c>
      <c r="H215" s="35" t="str">
        <f t="shared" si="7"/>
        <v/>
      </c>
    </row>
    <row r="216" spans="1:8" s="9" customFormat="1" ht="139.5" customHeight="1">
      <c r="A216" s="35" t="str">
        <f t="shared" si="6"/>
        <v/>
      </c>
      <c r="B216" s="38" t="str">
        <f>IF(ISBLANK(Charged!B216),"",Charged!B216)</f>
        <v/>
      </c>
      <c r="C216" s="38" t="str">
        <f>IF(ISBLANK(Charged!C216),"",CONCATENATE(Charged!C216,", ",Charged!D216))</f>
        <v/>
      </c>
      <c r="D216" s="38" t="str">
        <f>IF(ISBLANK(Charged!E216),"",Charged!E216)</f>
        <v/>
      </c>
      <c r="E216" s="38" t="str">
        <f>IF(ISBLANK(Charged!F216),"",Charged!F216)</f>
        <v/>
      </c>
      <c r="F216" s="39" t="str">
        <f>IF(ISBLANK(Charged!H216),"",Charged!H216)</f>
        <v/>
      </c>
      <c r="G216" s="37" t="str">
        <f>IF(ISBLANK(Charged!K216),"",Charged!K216)</f>
        <v/>
      </c>
      <c r="H216" s="35" t="str">
        <f t="shared" si="7"/>
        <v/>
      </c>
    </row>
    <row r="217" spans="1:8" s="9" customFormat="1" ht="139.5" customHeight="1">
      <c r="A217" s="35" t="str">
        <f t="shared" si="6"/>
        <v/>
      </c>
      <c r="B217" s="38" t="str">
        <f>IF(ISBLANK(Charged!B217),"",Charged!B217)</f>
        <v/>
      </c>
      <c r="C217" s="38" t="str">
        <f>IF(ISBLANK(Charged!C217),"",CONCATENATE(Charged!C217,", ",Charged!D217))</f>
        <v/>
      </c>
      <c r="D217" s="38" t="str">
        <f>IF(ISBLANK(Charged!E217),"",Charged!E217)</f>
        <v/>
      </c>
      <c r="E217" s="38" t="str">
        <f>IF(ISBLANK(Charged!F217),"",Charged!F217)</f>
        <v/>
      </c>
      <c r="F217" s="39" t="str">
        <f>IF(ISBLANK(Charged!H217),"",Charged!H217)</f>
        <v/>
      </c>
      <c r="G217" s="37" t="str">
        <f>IF(ISBLANK(Charged!K217),"",Charged!K217)</f>
        <v/>
      </c>
      <c r="H217" s="35" t="str">
        <f t="shared" si="7"/>
        <v/>
      </c>
    </row>
    <row r="218" spans="1:8" s="9" customFormat="1" ht="139.5" customHeight="1">
      <c r="A218" s="35" t="str">
        <f t="shared" si="6"/>
        <v/>
      </c>
      <c r="B218" s="38" t="str">
        <f>IF(ISBLANK(Charged!B218),"",Charged!B218)</f>
        <v/>
      </c>
      <c r="C218" s="38" t="str">
        <f>IF(ISBLANK(Charged!C218),"",CONCATENATE(Charged!C218,", ",Charged!D218))</f>
        <v/>
      </c>
      <c r="D218" s="38" t="str">
        <f>IF(ISBLANK(Charged!E218),"",Charged!E218)</f>
        <v/>
      </c>
      <c r="E218" s="38" t="str">
        <f>IF(ISBLANK(Charged!F218),"",Charged!F218)</f>
        <v/>
      </c>
      <c r="F218" s="39" t="str">
        <f>IF(ISBLANK(Charged!H218),"",Charged!H218)</f>
        <v/>
      </c>
      <c r="G218" s="37" t="str">
        <f>IF(ISBLANK(Charged!K218),"",Charged!K218)</f>
        <v/>
      </c>
      <c r="H218" s="35" t="str">
        <f t="shared" si="7"/>
        <v/>
      </c>
    </row>
    <row r="219" spans="1:8" s="9" customFormat="1" ht="139.5" customHeight="1">
      <c r="A219" s="35" t="str">
        <f t="shared" si="6"/>
        <v/>
      </c>
      <c r="B219" s="38" t="str">
        <f>IF(ISBLANK(Charged!B219),"",Charged!B219)</f>
        <v/>
      </c>
      <c r="C219" s="38" t="str">
        <f>IF(ISBLANK(Charged!C219),"",CONCATENATE(Charged!C219,", ",Charged!D219))</f>
        <v/>
      </c>
      <c r="D219" s="38" t="str">
        <f>IF(ISBLANK(Charged!E219),"",Charged!E219)</f>
        <v/>
      </c>
      <c r="E219" s="38" t="str">
        <f>IF(ISBLANK(Charged!F219),"",Charged!F219)</f>
        <v/>
      </c>
      <c r="F219" s="39" t="str">
        <f>IF(ISBLANK(Charged!H219),"",Charged!H219)</f>
        <v/>
      </c>
      <c r="G219" s="37" t="str">
        <f>IF(ISBLANK(Charged!K219),"",Charged!K219)</f>
        <v/>
      </c>
      <c r="H219" s="35" t="str">
        <f t="shared" si="7"/>
        <v/>
      </c>
    </row>
    <row r="220" spans="1:8" s="9" customFormat="1" ht="139.5" customHeight="1">
      <c r="A220" s="35" t="str">
        <f t="shared" si="6"/>
        <v/>
      </c>
      <c r="B220" s="38" t="str">
        <f>IF(ISBLANK(Charged!B220),"",Charged!B220)</f>
        <v/>
      </c>
      <c r="C220" s="38" t="str">
        <f>IF(ISBLANK(Charged!C220),"",CONCATENATE(Charged!C220,", ",Charged!D220))</f>
        <v/>
      </c>
      <c r="D220" s="38" t="str">
        <f>IF(ISBLANK(Charged!E220),"",Charged!E220)</f>
        <v/>
      </c>
      <c r="E220" s="38" t="str">
        <f>IF(ISBLANK(Charged!F220),"",Charged!F220)</f>
        <v/>
      </c>
      <c r="F220" s="39" t="str">
        <f>IF(ISBLANK(Charged!H220),"",Charged!H220)</f>
        <v/>
      </c>
      <c r="G220" s="37" t="str">
        <f>IF(ISBLANK(Charged!K220),"",Charged!K220)</f>
        <v/>
      </c>
      <c r="H220" s="35" t="str">
        <f t="shared" si="7"/>
        <v/>
      </c>
    </row>
    <row r="221" spans="1:8" s="9" customFormat="1" ht="139.5" customHeight="1">
      <c r="A221" s="35" t="str">
        <f t="shared" si="6"/>
        <v/>
      </c>
      <c r="B221" s="38" t="str">
        <f>IF(ISBLANK(Charged!B221),"",Charged!B221)</f>
        <v/>
      </c>
      <c r="C221" s="38" t="str">
        <f>IF(ISBLANK(Charged!C221),"",CONCATENATE(Charged!C221,", ",Charged!D221))</f>
        <v/>
      </c>
      <c r="D221" s="38" t="str">
        <f>IF(ISBLANK(Charged!E221),"",Charged!E221)</f>
        <v/>
      </c>
      <c r="E221" s="38" t="str">
        <f>IF(ISBLANK(Charged!F221),"",Charged!F221)</f>
        <v/>
      </c>
      <c r="F221" s="39" t="str">
        <f>IF(ISBLANK(Charged!H221),"",Charged!H221)</f>
        <v/>
      </c>
      <c r="G221" s="37" t="str">
        <f>IF(ISBLANK(Charged!K221),"",Charged!K221)</f>
        <v/>
      </c>
      <c r="H221" s="35" t="str">
        <f t="shared" si="7"/>
        <v/>
      </c>
    </row>
    <row r="222" spans="1:8" s="9" customFormat="1" ht="139.5" customHeight="1">
      <c r="A222" s="35" t="str">
        <f t="shared" si="6"/>
        <v/>
      </c>
      <c r="B222" s="38" t="str">
        <f>IF(ISBLANK(Charged!B222),"",Charged!B222)</f>
        <v/>
      </c>
      <c r="C222" s="38" t="str">
        <f>IF(ISBLANK(Charged!C222),"",CONCATENATE(Charged!C222,", ",Charged!D222))</f>
        <v/>
      </c>
      <c r="D222" s="38" t="str">
        <f>IF(ISBLANK(Charged!E222),"",Charged!E222)</f>
        <v/>
      </c>
      <c r="E222" s="38" t="str">
        <f>IF(ISBLANK(Charged!F222),"",Charged!F222)</f>
        <v/>
      </c>
      <c r="F222" s="39" t="str">
        <f>IF(ISBLANK(Charged!H222),"",Charged!H222)</f>
        <v/>
      </c>
      <c r="G222" s="37" t="str">
        <f>IF(ISBLANK(Charged!K222),"",Charged!K222)</f>
        <v/>
      </c>
      <c r="H222" s="35" t="str">
        <f t="shared" si="7"/>
        <v/>
      </c>
    </row>
    <row r="223" spans="1:8" s="9" customFormat="1" ht="139.5" customHeight="1">
      <c r="A223" s="35" t="str">
        <f t="shared" si="6"/>
        <v/>
      </c>
      <c r="B223" s="38" t="str">
        <f>IF(ISBLANK(Charged!B223),"",Charged!B223)</f>
        <v/>
      </c>
      <c r="C223" s="38" t="str">
        <f>IF(ISBLANK(Charged!C223),"",CONCATENATE(Charged!C223,", ",Charged!D223))</f>
        <v/>
      </c>
      <c r="D223" s="38" t="str">
        <f>IF(ISBLANK(Charged!E223),"",Charged!E223)</f>
        <v/>
      </c>
      <c r="E223" s="38" t="str">
        <f>IF(ISBLANK(Charged!F223),"",Charged!F223)</f>
        <v/>
      </c>
      <c r="F223" s="39" t="str">
        <f>IF(ISBLANK(Charged!H223),"",Charged!H223)</f>
        <v/>
      </c>
      <c r="G223" s="37" t="str">
        <f>IF(ISBLANK(Charged!K223),"",Charged!K223)</f>
        <v/>
      </c>
      <c r="H223" s="35" t="str">
        <f t="shared" si="7"/>
        <v/>
      </c>
    </row>
    <row r="224" spans="1:8" s="9" customFormat="1" ht="139.5" customHeight="1">
      <c r="A224" s="35" t="str">
        <f t="shared" si="6"/>
        <v/>
      </c>
      <c r="B224" s="38" t="str">
        <f>IF(ISBLANK(Charged!B224),"",Charged!B224)</f>
        <v/>
      </c>
      <c r="C224" s="38" t="str">
        <f>IF(ISBLANK(Charged!C224),"",CONCATENATE(Charged!C224,", ",Charged!D224))</f>
        <v/>
      </c>
      <c r="D224" s="38" t="str">
        <f>IF(ISBLANK(Charged!E224),"",Charged!E224)</f>
        <v/>
      </c>
      <c r="E224" s="38" t="str">
        <f>IF(ISBLANK(Charged!F224),"",Charged!F224)</f>
        <v/>
      </c>
      <c r="F224" s="39" t="str">
        <f>IF(ISBLANK(Charged!H224),"",Charged!H224)</f>
        <v/>
      </c>
      <c r="G224" s="37" t="str">
        <f>IF(ISBLANK(Charged!K224),"",Charged!K224)</f>
        <v/>
      </c>
      <c r="H224" s="35" t="str">
        <f t="shared" si="7"/>
        <v/>
      </c>
    </row>
    <row r="225" spans="1:8" s="9" customFormat="1" ht="139.5" customHeight="1">
      <c r="A225" s="35" t="str">
        <f t="shared" si="6"/>
        <v/>
      </c>
      <c r="B225" s="38" t="str">
        <f>IF(ISBLANK(Charged!B225),"",Charged!B225)</f>
        <v/>
      </c>
      <c r="C225" s="38" t="str">
        <f>IF(ISBLANK(Charged!C225),"",CONCATENATE(Charged!C225,", ",Charged!D225))</f>
        <v/>
      </c>
      <c r="D225" s="38" t="str">
        <f>IF(ISBLANK(Charged!E225),"",Charged!E225)</f>
        <v/>
      </c>
      <c r="E225" s="38" t="str">
        <f>IF(ISBLANK(Charged!F225),"",Charged!F225)</f>
        <v/>
      </c>
      <c r="F225" s="39" t="str">
        <f>IF(ISBLANK(Charged!H225),"",Charged!H225)</f>
        <v/>
      </c>
      <c r="G225" s="37" t="str">
        <f>IF(ISBLANK(Charged!K225),"",Charged!K225)</f>
        <v/>
      </c>
      <c r="H225" s="35" t="str">
        <f t="shared" si="7"/>
        <v/>
      </c>
    </row>
    <row r="226" spans="1:8" s="9" customFormat="1" ht="139.5" customHeight="1">
      <c r="A226" s="35" t="str">
        <f t="shared" si="6"/>
        <v/>
      </c>
      <c r="B226" s="38" t="str">
        <f>IF(ISBLANK(Charged!B226),"",Charged!B226)</f>
        <v/>
      </c>
      <c r="C226" s="38" t="str">
        <f>IF(ISBLANK(Charged!C226),"",CONCATENATE(Charged!C226,", ",Charged!D226))</f>
        <v/>
      </c>
      <c r="D226" s="38" t="str">
        <f>IF(ISBLANK(Charged!E226),"",Charged!E226)</f>
        <v/>
      </c>
      <c r="E226" s="38" t="str">
        <f>IF(ISBLANK(Charged!F226),"",Charged!F226)</f>
        <v/>
      </c>
      <c r="F226" s="39" t="str">
        <f>IF(ISBLANK(Charged!H226),"",Charged!H226)</f>
        <v/>
      </c>
      <c r="G226" s="37" t="str">
        <f>IF(ISBLANK(Charged!K226),"",Charged!K226)</f>
        <v/>
      </c>
      <c r="H226" s="35" t="str">
        <f t="shared" si="7"/>
        <v/>
      </c>
    </row>
    <row r="227" spans="1:8" s="9" customFormat="1" ht="139.5" customHeight="1">
      <c r="A227" s="35" t="str">
        <f t="shared" si="6"/>
        <v/>
      </c>
      <c r="B227" s="38" t="str">
        <f>IF(ISBLANK(Charged!B227),"",Charged!B227)</f>
        <v/>
      </c>
      <c r="C227" s="38" t="str">
        <f>IF(ISBLANK(Charged!C227),"",CONCATENATE(Charged!C227,", ",Charged!D227))</f>
        <v/>
      </c>
      <c r="D227" s="38" t="str">
        <f>IF(ISBLANK(Charged!E227),"",Charged!E227)</f>
        <v/>
      </c>
      <c r="E227" s="38" t="str">
        <f>IF(ISBLANK(Charged!F227),"",Charged!F227)</f>
        <v/>
      </c>
      <c r="F227" s="39" t="str">
        <f>IF(ISBLANK(Charged!H227),"",Charged!H227)</f>
        <v/>
      </c>
      <c r="G227" s="37" t="str">
        <f>IF(ISBLANK(Charged!K227),"",Charged!K227)</f>
        <v/>
      </c>
      <c r="H227" s="35" t="str">
        <f t="shared" si="7"/>
        <v/>
      </c>
    </row>
    <row r="228" spans="1:8" s="9" customFormat="1" ht="139.5" customHeight="1">
      <c r="A228" s="35" t="str">
        <f t="shared" si="6"/>
        <v/>
      </c>
      <c r="B228" s="38" t="str">
        <f>IF(ISBLANK(Charged!B228),"",Charged!B228)</f>
        <v/>
      </c>
      <c r="C228" s="38" t="str">
        <f>IF(ISBLANK(Charged!C228),"",CONCATENATE(Charged!C228,", ",Charged!D228))</f>
        <v/>
      </c>
      <c r="D228" s="38" t="str">
        <f>IF(ISBLANK(Charged!E228),"",Charged!E228)</f>
        <v/>
      </c>
      <c r="E228" s="38" t="str">
        <f>IF(ISBLANK(Charged!F228),"",Charged!F228)</f>
        <v/>
      </c>
      <c r="F228" s="39" t="str">
        <f>IF(ISBLANK(Charged!H228),"",Charged!H228)</f>
        <v/>
      </c>
      <c r="G228" s="37" t="str">
        <f>IF(ISBLANK(Charged!K228),"",Charged!K228)</f>
        <v/>
      </c>
      <c r="H228" s="35" t="str">
        <f t="shared" si="7"/>
        <v/>
      </c>
    </row>
    <row r="229" spans="1:8" s="9" customFormat="1" ht="139.5" customHeight="1">
      <c r="A229" s="35" t="str">
        <f t="shared" si="6"/>
        <v/>
      </c>
      <c r="B229" s="38" t="str">
        <f>IF(ISBLANK(Charged!B229),"",Charged!B229)</f>
        <v/>
      </c>
      <c r="C229" s="38" t="str">
        <f>IF(ISBLANK(Charged!C229),"",CONCATENATE(Charged!C229,", ",Charged!D229))</f>
        <v/>
      </c>
      <c r="D229" s="38" t="str">
        <f>IF(ISBLANK(Charged!E229),"",Charged!E229)</f>
        <v/>
      </c>
      <c r="E229" s="38" t="str">
        <f>IF(ISBLANK(Charged!F229),"",Charged!F229)</f>
        <v/>
      </c>
      <c r="F229" s="39" t="str">
        <f>IF(ISBLANK(Charged!H229),"",Charged!H229)</f>
        <v/>
      </c>
      <c r="G229" s="37" t="str">
        <f>IF(ISBLANK(Charged!K229),"",Charged!K229)</f>
        <v/>
      </c>
      <c r="H229" s="35" t="str">
        <f t="shared" si="7"/>
        <v/>
      </c>
    </row>
    <row r="230" spans="1:8" s="9" customFormat="1" ht="139.5" customHeight="1">
      <c r="A230" s="35" t="str">
        <f t="shared" si="6"/>
        <v/>
      </c>
      <c r="B230" s="38" t="str">
        <f>IF(ISBLANK(Charged!B230),"",Charged!B230)</f>
        <v/>
      </c>
      <c r="C230" s="38" t="str">
        <f>IF(ISBLANK(Charged!C230),"",CONCATENATE(Charged!C230,", ",Charged!D230))</f>
        <v/>
      </c>
      <c r="D230" s="38" t="str">
        <f>IF(ISBLANK(Charged!E230),"",Charged!E230)</f>
        <v/>
      </c>
      <c r="E230" s="38" t="str">
        <f>IF(ISBLANK(Charged!F230),"",Charged!F230)</f>
        <v/>
      </c>
      <c r="F230" s="39" t="str">
        <f>IF(ISBLANK(Charged!H230),"",Charged!H230)</f>
        <v/>
      </c>
      <c r="G230" s="37" t="str">
        <f>IF(ISBLANK(Charged!K230),"",Charged!K230)</f>
        <v/>
      </c>
      <c r="H230" s="35" t="str">
        <f t="shared" si="7"/>
        <v/>
      </c>
    </row>
    <row r="231" spans="1:8" s="9" customFormat="1" ht="139.5" customHeight="1">
      <c r="A231" s="35" t="str">
        <f t="shared" si="6"/>
        <v/>
      </c>
      <c r="B231" s="38" t="str">
        <f>IF(ISBLANK(Charged!B231),"",Charged!B231)</f>
        <v/>
      </c>
      <c r="C231" s="38" t="str">
        <f>IF(ISBLANK(Charged!C231),"",CONCATENATE(Charged!C231,", ",Charged!D231))</f>
        <v/>
      </c>
      <c r="D231" s="38" t="str">
        <f>IF(ISBLANK(Charged!E231),"",Charged!E231)</f>
        <v/>
      </c>
      <c r="E231" s="38" t="str">
        <f>IF(ISBLANK(Charged!F231),"",Charged!F231)</f>
        <v/>
      </c>
      <c r="F231" s="39" t="str">
        <f>IF(ISBLANK(Charged!H231),"",Charged!H231)</f>
        <v/>
      </c>
      <c r="G231" s="37" t="str">
        <f>IF(ISBLANK(Charged!K231),"",Charged!K231)</f>
        <v/>
      </c>
      <c r="H231" s="35" t="str">
        <f t="shared" si="7"/>
        <v/>
      </c>
    </row>
    <row r="232" spans="1:8" s="9" customFormat="1" ht="139.5" customHeight="1">
      <c r="A232" s="35" t="str">
        <f t="shared" si="6"/>
        <v/>
      </c>
      <c r="B232" s="38" t="str">
        <f>IF(ISBLANK(Charged!B232),"",Charged!B232)</f>
        <v/>
      </c>
      <c r="C232" s="38" t="str">
        <f>IF(ISBLANK(Charged!C232),"",CONCATENATE(Charged!C232,", ",Charged!D232))</f>
        <v/>
      </c>
      <c r="D232" s="38" t="str">
        <f>IF(ISBLANK(Charged!E232),"",Charged!E232)</f>
        <v/>
      </c>
      <c r="E232" s="38" t="str">
        <f>IF(ISBLANK(Charged!F232),"",Charged!F232)</f>
        <v/>
      </c>
      <c r="F232" s="39" t="str">
        <f>IF(ISBLANK(Charged!H232),"",Charged!H232)</f>
        <v/>
      </c>
      <c r="G232" s="37" t="str">
        <f>IF(ISBLANK(Charged!K232),"",Charged!K232)</f>
        <v/>
      </c>
      <c r="H232" s="35" t="str">
        <f t="shared" si="7"/>
        <v/>
      </c>
    </row>
    <row r="233" spans="1:8" s="9" customFormat="1" ht="139.5" customHeight="1">
      <c r="A233" s="35" t="str">
        <f t="shared" si="6"/>
        <v/>
      </c>
      <c r="B233" s="38" t="str">
        <f>IF(ISBLANK(Charged!B233),"",Charged!B233)</f>
        <v/>
      </c>
      <c r="C233" s="38" t="str">
        <f>IF(ISBLANK(Charged!C233),"",CONCATENATE(Charged!C233,", ",Charged!D233))</f>
        <v/>
      </c>
      <c r="D233" s="38" t="str">
        <f>IF(ISBLANK(Charged!E233),"",Charged!E233)</f>
        <v/>
      </c>
      <c r="E233" s="38" t="str">
        <f>IF(ISBLANK(Charged!F233),"",Charged!F233)</f>
        <v/>
      </c>
      <c r="F233" s="39" t="str">
        <f>IF(ISBLANK(Charged!H233),"",Charged!H233)</f>
        <v/>
      </c>
      <c r="G233" s="37" t="str">
        <f>IF(ISBLANK(Charged!K233),"",Charged!K233)</f>
        <v/>
      </c>
      <c r="H233" s="35" t="str">
        <f t="shared" si="7"/>
        <v/>
      </c>
    </row>
    <row r="234" spans="1:8" s="9" customFormat="1" ht="139.5" customHeight="1">
      <c r="A234" s="35" t="str">
        <f t="shared" si="6"/>
        <v/>
      </c>
      <c r="B234" s="38" t="str">
        <f>IF(ISBLANK(Charged!B234),"",Charged!B234)</f>
        <v/>
      </c>
      <c r="C234" s="38" t="str">
        <f>IF(ISBLANK(Charged!C234),"",CONCATENATE(Charged!C234,", ",Charged!D234))</f>
        <v/>
      </c>
      <c r="D234" s="38" t="str">
        <f>IF(ISBLANK(Charged!E234),"",Charged!E234)</f>
        <v/>
      </c>
      <c r="E234" s="38" t="str">
        <f>IF(ISBLANK(Charged!F234),"",Charged!F234)</f>
        <v/>
      </c>
      <c r="F234" s="39" t="str">
        <f>IF(ISBLANK(Charged!H234),"",Charged!H234)</f>
        <v/>
      </c>
      <c r="G234" s="37" t="str">
        <f>IF(ISBLANK(Charged!K234),"",Charged!K234)</f>
        <v/>
      </c>
      <c r="H234" s="35" t="str">
        <f t="shared" si="7"/>
        <v/>
      </c>
    </row>
    <row r="235" spans="1:8" s="9" customFormat="1" ht="139.5" customHeight="1">
      <c r="A235" s="35" t="str">
        <f t="shared" si="6"/>
        <v/>
      </c>
      <c r="B235" s="38" t="str">
        <f>IF(ISBLANK(Charged!B235),"",Charged!B235)</f>
        <v/>
      </c>
      <c r="C235" s="38" t="str">
        <f>IF(ISBLANK(Charged!C235),"",CONCATENATE(Charged!C235,", ",Charged!D235))</f>
        <v/>
      </c>
      <c r="D235" s="38" t="str">
        <f>IF(ISBLANK(Charged!E235),"",Charged!E235)</f>
        <v/>
      </c>
      <c r="E235" s="38" t="str">
        <f>IF(ISBLANK(Charged!F235),"",Charged!F235)</f>
        <v/>
      </c>
      <c r="F235" s="39" t="str">
        <f>IF(ISBLANK(Charged!H235),"",Charged!H235)</f>
        <v/>
      </c>
      <c r="G235" s="37" t="str">
        <f>IF(ISBLANK(Charged!K235),"",Charged!K235)</f>
        <v/>
      </c>
      <c r="H235" s="35" t="str">
        <f t="shared" si="7"/>
        <v/>
      </c>
    </row>
    <row r="236" spans="1:8" s="9" customFormat="1" ht="139.5" customHeight="1">
      <c r="A236" s="35" t="str">
        <f t="shared" si="6"/>
        <v/>
      </c>
      <c r="B236" s="38" t="str">
        <f>IF(ISBLANK(Charged!B236),"",Charged!B236)</f>
        <v/>
      </c>
      <c r="C236" s="38" t="str">
        <f>IF(ISBLANK(Charged!C236),"",CONCATENATE(Charged!C236,", ",Charged!D236))</f>
        <v/>
      </c>
      <c r="D236" s="38" t="str">
        <f>IF(ISBLANK(Charged!E236),"",Charged!E236)</f>
        <v/>
      </c>
      <c r="E236" s="38" t="str">
        <f>IF(ISBLANK(Charged!F236),"",Charged!F236)</f>
        <v/>
      </c>
      <c r="F236" s="39" t="str">
        <f>IF(ISBLANK(Charged!H236),"",Charged!H236)</f>
        <v/>
      </c>
      <c r="G236" s="37" t="str">
        <f>IF(ISBLANK(Charged!K236),"",Charged!K236)</f>
        <v/>
      </c>
      <c r="H236" s="35" t="str">
        <f t="shared" si="7"/>
        <v/>
      </c>
    </row>
    <row r="237" spans="1:8" s="9" customFormat="1" ht="139.5" customHeight="1">
      <c r="A237" s="35" t="str">
        <f t="shared" si="6"/>
        <v/>
      </c>
      <c r="B237" s="38" t="str">
        <f>IF(ISBLANK(Charged!B237),"",Charged!B237)</f>
        <v/>
      </c>
      <c r="C237" s="38" t="str">
        <f>IF(ISBLANK(Charged!C237),"",CONCATENATE(Charged!C237,", ",Charged!D237))</f>
        <v/>
      </c>
      <c r="D237" s="38" t="str">
        <f>IF(ISBLANK(Charged!E237),"",Charged!E237)</f>
        <v/>
      </c>
      <c r="E237" s="38" t="str">
        <f>IF(ISBLANK(Charged!F237),"",Charged!F237)</f>
        <v/>
      </c>
      <c r="F237" s="39" t="str">
        <f>IF(ISBLANK(Charged!H237),"",Charged!H237)</f>
        <v/>
      </c>
      <c r="G237" s="37" t="str">
        <f>IF(ISBLANK(Charged!K237),"",Charged!K237)</f>
        <v/>
      </c>
      <c r="H237" s="35" t="str">
        <f t="shared" si="7"/>
        <v/>
      </c>
    </row>
    <row r="238" spans="1:8" s="9" customFormat="1" ht="139.5" customHeight="1">
      <c r="A238" s="35" t="str">
        <f t="shared" si="6"/>
        <v/>
      </c>
      <c r="B238" s="38" t="str">
        <f>IF(ISBLANK(Charged!B238),"",Charged!B238)</f>
        <v/>
      </c>
      <c r="C238" s="38" t="str">
        <f>IF(ISBLANK(Charged!C238),"",CONCATENATE(Charged!C238,", ",Charged!D238))</f>
        <v/>
      </c>
      <c r="D238" s="38" t="str">
        <f>IF(ISBLANK(Charged!E238),"",Charged!E238)</f>
        <v/>
      </c>
      <c r="E238" s="38" t="str">
        <f>IF(ISBLANK(Charged!F238),"",Charged!F238)</f>
        <v/>
      </c>
      <c r="F238" s="39" t="str">
        <f>IF(ISBLANK(Charged!H238),"",Charged!H238)</f>
        <v/>
      </c>
      <c r="G238" s="37" t="str">
        <f>IF(ISBLANK(Charged!K238),"",Charged!K238)</f>
        <v/>
      </c>
      <c r="H238" s="35" t="str">
        <f t="shared" si="7"/>
        <v/>
      </c>
    </row>
    <row r="239" spans="1:8" s="9" customFormat="1" ht="139.5" customHeight="1">
      <c r="A239" s="35" t="str">
        <f t="shared" si="6"/>
        <v/>
      </c>
      <c r="B239" s="38" t="str">
        <f>IF(ISBLANK(Charged!B239),"",Charged!B239)</f>
        <v/>
      </c>
      <c r="C239" s="38" t="str">
        <f>IF(ISBLANK(Charged!C239),"",CONCATENATE(Charged!C239,", ",Charged!D239))</f>
        <v/>
      </c>
      <c r="D239" s="38" t="str">
        <f>IF(ISBLANK(Charged!E239),"",Charged!E239)</f>
        <v/>
      </c>
      <c r="E239" s="38" t="str">
        <f>IF(ISBLANK(Charged!F239),"",Charged!F239)</f>
        <v/>
      </c>
      <c r="F239" s="39" t="str">
        <f>IF(ISBLANK(Charged!H239),"",Charged!H239)</f>
        <v/>
      </c>
      <c r="G239" s="37" t="str">
        <f>IF(ISBLANK(Charged!K239),"",Charged!K239)</f>
        <v/>
      </c>
      <c r="H239" s="35" t="str">
        <f t="shared" si="7"/>
        <v/>
      </c>
    </row>
    <row r="240" spans="1:8" s="9" customFormat="1" ht="139.5" customHeight="1">
      <c r="A240" s="35" t="str">
        <f t="shared" si="6"/>
        <v/>
      </c>
      <c r="B240" s="38" t="str">
        <f>IF(ISBLANK(Charged!B240),"",Charged!B240)</f>
        <v/>
      </c>
      <c r="C240" s="38" t="str">
        <f>IF(ISBLANK(Charged!C240),"",CONCATENATE(Charged!C240,", ",Charged!D240))</f>
        <v/>
      </c>
      <c r="D240" s="38" t="str">
        <f>IF(ISBLANK(Charged!E240),"",Charged!E240)</f>
        <v/>
      </c>
      <c r="E240" s="38" t="str">
        <f>IF(ISBLANK(Charged!F240),"",Charged!F240)</f>
        <v/>
      </c>
      <c r="F240" s="39" t="str">
        <f>IF(ISBLANK(Charged!H240),"",Charged!H240)</f>
        <v/>
      </c>
      <c r="G240" s="37" t="str">
        <f>IF(ISBLANK(Charged!K240),"",Charged!K240)</f>
        <v/>
      </c>
      <c r="H240" s="35" t="str">
        <f t="shared" si="7"/>
        <v/>
      </c>
    </row>
    <row r="241" spans="1:8" s="9" customFormat="1" ht="139.5" customHeight="1">
      <c r="A241" s="35" t="str">
        <f t="shared" si="6"/>
        <v/>
      </c>
      <c r="B241" s="38" t="str">
        <f>IF(ISBLANK(Charged!B241),"",Charged!B241)</f>
        <v/>
      </c>
      <c r="C241" s="38" t="str">
        <f>IF(ISBLANK(Charged!C241),"",CONCATENATE(Charged!C241,", ",Charged!D241))</f>
        <v/>
      </c>
      <c r="D241" s="38" t="str">
        <f>IF(ISBLANK(Charged!E241),"",Charged!E241)</f>
        <v/>
      </c>
      <c r="E241" s="38" t="str">
        <f>IF(ISBLANK(Charged!F241),"",Charged!F241)</f>
        <v/>
      </c>
      <c r="F241" s="39" t="str">
        <f>IF(ISBLANK(Charged!H241),"",Charged!H241)</f>
        <v/>
      </c>
      <c r="G241" s="37" t="str">
        <f>IF(ISBLANK(Charged!K241),"",Charged!K241)</f>
        <v/>
      </c>
      <c r="H241" s="35" t="str">
        <f t="shared" si="7"/>
        <v/>
      </c>
    </row>
    <row r="242" spans="1:8" s="9" customFormat="1" ht="139.5" customHeight="1">
      <c r="A242" s="35" t="str">
        <f t="shared" si="6"/>
        <v/>
      </c>
      <c r="B242" s="38" t="str">
        <f>IF(ISBLANK(Charged!B242),"",Charged!B242)</f>
        <v/>
      </c>
      <c r="C242" s="38" t="str">
        <f>IF(ISBLANK(Charged!C242),"",CONCATENATE(Charged!C242,", ",Charged!D242))</f>
        <v/>
      </c>
      <c r="D242" s="38" t="str">
        <f>IF(ISBLANK(Charged!E242),"",Charged!E242)</f>
        <v/>
      </c>
      <c r="E242" s="38" t="str">
        <f>IF(ISBLANK(Charged!F242),"",Charged!F242)</f>
        <v/>
      </c>
      <c r="F242" s="39" t="str">
        <f>IF(ISBLANK(Charged!H242),"",Charged!H242)</f>
        <v/>
      </c>
      <c r="G242" s="37" t="str">
        <f>IF(ISBLANK(Charged!K242),"",Charged!K242)</f>
        <v/>
      </c>
      <c r="H242" s="35" t="str">
        <f t="shared" si="7"/>
        <v/>
      </c>
    </row>
    <row r="243" spans="1:8" s="9" customFormat="1" ht="139.5" customHeight="1">
      <c r="A243" s="35" t="str">
        <f t="shared" si="6"/>
        <v/>
      </c>
      <c r="B243" s="38" t="str">
        <f>IF(ISBLANK(Charged!B243),"",Charged!B243)</f>
        <v/>
      </c>
      <c r="C243" s="38" t="str">
        <f>IF(ISBLANK(Charged!C243),"",CONCATENATE(Charged!C243,", ",Charged!D243))</f>
        <v/>
      </c>
      <c r="D243" s="38" t="str">
        <f>IF(ISBLANK(Charged!E243),"",Charged!E243)</f>
        <v/>
      </c>
      <c r="E243" s="38" t="str">
        <f>IF(ISBLANK(Charged!F243),"",Charged!F243)</f>
        <v/>
      </c>
      <c r="F243" s="39" t="str">
        <f>IF(ISBLANK(Charged!H243),"",Charged!H243)</f>
        <v/>
      </c>
      <c r="G243" s="37" t="str">
        <f>IF(ISBLANK(Charged!K243),"",Charged!K243)</f>
        <v/>
      </c>
      <c r="H243" s="35" t="str">
        <f t="shared" si="7"/>
        <v/>
      </c>
    </row>
    <row r="244" spans="1:8" s="9" customFormat="1" ht="139.5" customHeight="1">
      <c r="A244" s="35" t="str">
        <f t="shared" si="6"/>
        <v/>
      </c>
      <c r="B244" s="38" t="str">
        <f>IF(ISBLANK(Charged!B244),"",Charged!B244)</f>
        <v/>
      </c>
      <c r="C244" s="38" t="str">
        <f>IF(ISBLANK(Charged!C244),"",CONCATENATE(Charged!C244,", ",Charged!D244))</f>
        <v/>
      </c>
      <c r="D244" s="38" t="str">
        <f>IF(ISBLANK(Charged!E244),"",Charged!E244)</f>
        <v/>
      </c>
      <c r="E244" s="38" t="str">
        <f>IF(ISBLANK(Charged!F244),"",Charged!F244)</f>
        <v/>
      </c>
      <c r="F244" s="39" t="str">
        <f>IF(ISBLANK(Charged!H244),"",Charged!H244)</f>
        <v/>
      </c>
      <c r="G244" s="37" t="str">
        <f>IF(ISBLANK(Charged!K244),"",Charged!K244)</f>
        <v/>
      </c>
      <c r="H244" s="35" t="str">
        <f t="shared" si="7"/>
        <v/>
      </c>
    </row>
    <row r="245" spans="1:8" s="9" customFormat="1" ht="139.5" customHeight="1">
      <c r="A245" s="35" t="str">
        <f t="shared" si="6"/>
        <v/>
      </c>
      <c r="B245" s="38" t="str">
        <f>IF(ISBLANK(Charged!B245),"",Charged!B245)</f>
        <v/>
      </c>
      <c r="C245" s="38" t="str">
        <f>IF(ISBLANK(Charged!C245),"",CONCATENATE(Charged!C245,", ",Charged!D245))</f>
        <v/>
      </c>
      <c r="D245" s="38" t="str">
        <f>IF(ISBLANK(Charged!E245),"",Charged!E245)</f>
        <v/>
      </c>
      <c r="E245" s="38" t="str">
        <f>IF(ISBLANK(Charged!F245),"",Charged!F245)</f>
        <v/>
      </c>
      <c r="F245" s="39" t="str">
        <f>IF(ISBLANK(Charged!H245),"",Charged!H245)</f>
        <v/>
      </c>
      <c r="G245" s="37" t="str">
        <f>IF(ISBLANK(Charged!K245),"",Charged!K245)</f>
        <v/>
      </c>
      <c r="H245" s="35" t="str">
        <f t="shared" si="7"/>
        <v/>
      </c>
    </row>
    <row r="246" spans="1:8" s="9" customFormat="1" ht="139.5" customHeight="1">
      <c r="A246" s="35" t="str">
        <f t="shared" si="6"/>
        <v/>
      </c>
      <c r="B246" s="38" t="str">
        <f>IF(ISBLANK(Charged!B246),"",Charged!B246)</f>
        <v/>
      </c>
      <c r="C246" s="38" t="str">
        <f>IF(ISBLANK(Charged!C246),"",CONCATENATE(Charged!C246,", ",Charged!D246))</f>
        <v/>
      </c>
      <c r="D246" s="38" t="str">
        <f>IF(ISBLANK(Charged!E246),"",Charged!E246)</f>
        <v/>
      </c>
      <c r="E246" s="38" t="str">
        <f>IF(ISBLANK(Charged!F246),"",Charged!F246)</f>
        <v/>
      </c>
      <c r="F246" s="39" t="str">
        <f>IF(ISBLANK(Charged!H246),"",Charged!H246)</f>
        <v/>
      </c>
      <c r="G246" s="37" t="str">
        <f>IF(ISBLANK(Charged!K246),"",Charged!K246)</f>
        <v/>
      </c>
      <c r="H246" s="35" t="str">
        <f t="shared" si="7"/>
        <v/>
      </c>
    </row>
    <row r="247" spans="1:8" s="9" customFormat="1" ht="139.5" customHeight="1">
      <c r="A247" s="35" t="str">
        <f t="shared" si="6"/>
        <v/>
      </c>
      <c r="B247" s="38" t="str">
        <f>IF(ISBLANK(Charged!B247),"",Charged!B247)</f>
        <v/>
      </c>
      <c r="C247" s="38" t="str">
        <f>IF(ISBLANK(Charged!C247),"",CONCATENATE(Charged!C247,", ",Charged!D247))</f>
        <v/>
      </c>
      <c r="D247" s="38" t="str">
        <f>IF(ISBLANK(Charged!E247),"",Charged!E247)</f>
        <v/>
      </c>
      <c r="E247" s="38" t="str">
        <f>IF(ISBLANK(Charged!F247),"",Charged!F247)</f>
        <v/>
      </c>
      <c r="F247" s="39" t="str">
        <f>IF(ISBLANK(Charged!H247),"",Charged!H247)</f>
        <v/>
      </c>
      <c r="G247" s="37" t="str">
        <f>IF(ISBLANK(Charged!K247),"",Charged!K247)</f>
        <v/>
      </c>
      <c r="H247" s="35" t="str">
        <f t="shared" si="7"/>
        <v/>
      </c>
    </row>
    <row r="248" spans="1:8" s="9" customFormat="1" ht="139.5" customHeight="1">
      <c r="A248" s="35" t="str">
        <f t="shared" si="6"/>
        <v/>
      </c>
      <c r="B248" s="38" t="str">
        <f>IF(ISBLANK(Charged!B248),"",Charged!B248)</f>
        <v/>
      </c>
      <c r="C248" s="38" t="str">
        <f>IF(ISBLANK(Charged!C248),"",CONCATENATE(Charged!C248,", ",Charged!D248))</f>
        <v/>
      </c>
      <c r="D248" s="38" t="str">
        <f>IF(ISBLANK(Charged!E248),"",Charged!E248)</f>
        <v/>
      </c>
      <c r="E248" s="38" t="str">
        <f>IF(ISBLANK(Charged!F248),"",Charged!F248)</f>
        <v/>
      </c>
      <c r="F248" s="39" t="str">
        <f>IF(ISBLANK(Charged!H248),"",Charged!H248)</f>
        <v/>
      </c>
      <c r="G248" s="37" t="str">
        <f>IF(ISBLANK(Charged!K248),"",Charged!K248)</f>
        <v/>
      </c>
      <c r="H248" s="35" t="str">
        <f t="shared" si="7"/>
        <v/>
      </c>
    </row>
    <row r="249" spans="1:8" s="9" customFormat="1" ht="139.5" customHeight="1">
      <c r="A249" s="35" t="str">
        <f t="shared" si="6"/>
        <v/>
      </c>
      <c r="B249" s="38" t="str">
        <f>IF(ISBLANK(Charged!B249),"",Charged!B249)</f>
        <v/>
      </c>
      <c r="C249" s="38" t="str">
        <f>IF(ISBLANK(Charged!C249),"",CONCATENATE(Charged!C249,", ",Charged!D249))</f>
        <v/>
      </c>
      <c r="D249" s="38" t="str">
        <f>IF(ISBLANK(Charged!E249),"",Charged!E249)</f>
        <v/>
      </c>
      <c r="E249" s="38" t="str">
        <f>IF(ISBLANK(Charged!F249),"",Charged!F249)</f>
        <v/>
      </c>
      <c r="F249" s="39" t="str">
        <f>IF(ISBLANK(Charged!H249),"",Charged!H249)</f>
        <v/>
      </c>
      <c r="G249" s="37" t="str">
        <f>IF(ISBLANK(Charged!K249),"",Charged!K249)</f>
        <v/>
      </c>
      <c r="H249" s="35" t="str">
        <f t="shared" si="7"/>
        <v/>
      </c>
    </row>
    <row r="250" spans="1:8" s="9" customFormat="1" ht="139.5" customHeight="1">
      <c r="A250" s="35" t="str">
        <f t="shared" si="6"/>
        <v/>
      </c>
      <c r="B250" s="38" t="str">
        <f>IF(ISBLANK(Charged!B250),"",Charged!B250)</f>
        <v/>
      </c>
      <c r="C250" s="38" t="str">
        <f>IF(ISBLANK(Charged!C250),"",CONCATENATE(Charged!C250,", ",Charged!D250))</f>
        <v/>
      </c>
      <c r="D250" s="38" t="str">
        <f>IF(ISBLANK(Charged!E250),"",Charged!E250)</f>
        <v/>
      </c>
      <c r="E250" s="38" t="str">
        <f>IF(ISBLANK(Charged!F250),"",Charged!F250)</f>
        <v/>
      </c>
      <c r="F250" s="39" t="str">
        <f>IF(ISBLANK(Charged!H250),"",Charged!H250)</f>
        <v/>
      </c>
      <c r="G250" s="37" t="str">
        <f>IF(ISBLANK(Charged!K250),"",Charged!K250)</f>
        <v/>
      </c>
      <c r="H250" s="35" t="str">
        <f t="shared" si="7"/>
        <v/>
      </c>
    </row>
    <row r="251" spans="1:8" s="9" customFormat="1" ht="139.5" customHeight="1">
      <c r="A251" s="35" t="str">
        <f t="shared" si="6"/>
        <v/>
      </c>
      <c r="B251" s="38" t="str">
        <f>IF(ISBLANK(Charged!B251),"",Charged!B251)</f>
        <v/>
      </c>
      <c r="C251" s="38" t="str">
        <f>IF(ISBLANK(Charged!C251),"",CONCATENATE(Charged!C251,", ",Charged!D251))</f>
        <v/>
      </c>
      <c r="D251" s="38" t="str">
        <f>IF(ISBLANK(Charged!E251),"",Charged!E251)</f>
        <v/>
      </c>
      <c r="E251" s="38" t="str">
        <f>IF(ISBLANK(Charged!F251),"",Charged!F251)</f>
        <v/>
      </c>
      <c r="F251" s="39" t="str">
        <f>IF(ISBLANK(Charged!H251),"",Charged!H251)</f>
        <v/>
      </c>
      <c r="G251" s="37" t="str">
        <f>IF(ISBLANK(Charged!K251),"",Charged!K251)</f>
        <v/>
      </c>
      <c r="H251" s="35" t="str">
        <f t="shared" si="7"/>
        <v/>
      </c>
    </row>
    <row r="252" spans="1:8" s="9" customFormat="1" ht="139.5" customHeight="1">
      <c r="A252" s="35" t="str">
        <f t="shared" si="6"/>
        <v/>
      </c>
      <c r="B252" s="38" t="str">
        <f>IF(ISBLANK(Charged!B252),"",Charged!B252)</f>
        <v/>
      </c>
      <c r="C252" s="38" t="str">
        <f>IF(ISBLANK(Charged!C252),"",CONCATENATE(Charged!C252,", ",Charged!D252))</f>
        <v/>
      </c>
      <c r="D252" s="38" t="str">
        <f>IF(ISBLANK(Charged!E252),"",Charged!E252)</f>
        <v/>
      </c>
      <c r="E252" s="38" t="str">
        <f>IF(ISBLANK(Charged!F252),"",Charged!F252)</f>
        <v/>
      </c>
      <c r="F252" s="39" t="str">
        <f>IF(ISBLANK(Charged!H252),"",Charged!H252)</f>
        <v/>
      </c>
      <c r="G252" s="37" t="str">
        <f>IF(ISBLANK(Charged!K252),"",Charged!K252)</f>
        <v/>
      </c>
      <c r="H252" s="35" t="str">
        <f t="shared" si="7"/>
        <v/>
      </c>
    </row>
    <row r="253" spans="1:8" s="9" customFormat="1" ht="139.5" customHeight="1">
      <c r="A253" s="35" t="str">
        <f t="shared" si="6"/>
        <v/>
      </c>
      <c r="B253" s="38" t="str">
        <f>IF(ISBLANK(Charged!B253),"",Charged!B253)</f>
        <v/>
      </c>
      <c r="C253" s="38" t="str">
        <f>IF(ISBLANK(Charged!C253),"",CONCATENATE(Charged!C253,", ",Charged!D253))</f>
        <v/>
      </c>
      <c r="D253" s="38" t="str">
        <f>IF(ISBLANK(Charged!E253),"",Charged!E253)</f>
        <v/>
      </c>
      <c r="E253" s="38" t="str">
        <f>IF(ISBLANK(Charged!F253),"",Charged!F253)</f>
        <v/>
      </c>
      <c r="F253" s="39" t="str">
        <f>IF(ISBLANK(Charged!H253),"",Charged!H253)</f>
        <v/>
      </c>
      <c r="G253" s="37" t="str">
        <f>IF(ISBLANK(Charged!K253),"",Charged!K253)</f>
        <v/>
      </c>
      <c r="H253" s="35" t="str">
        <f t="shared" si="7"/>
        <v/>
      </c>
    </row>
    <row r="254" spans="1:8" s="9" customFormat="1" ht="139.5" customHeight="1">
      <c r="A254" s="35" t="str">
        <f t="shared" si="6"/>
        <v/>
      </c>
      <c r="B254" s="38" t="str">
        <f>IF(ISBLANK(Charged!B254),"",Charged!B254)</f>
        <v/>
      </c>
      <c r="C254" s="38" t="str">
        <f>IF(ISBLANK(Charged!C254),"",CONCATENATE(Charged!C254,", ",Charged!D254))</f>
        <v/>
      </c>
      <c r="D254" s="38" t="str">
        <f>IF(ISBLANK(Charged!E254),"",Charged!E254)</f>
        <v/>
      </c>
      <c r="E254" s="38" t="str">
        <f>IF(ISBLANK(Charged!F254),"",Charged!F254)</f>
        <v/>
      </c>
      <c r="F254" s="39" t="str">
        <f>IF(ISBLANK(Charged!H254),"",Charged!H254)</f>
        <v/>
      </c>
      <c r="G254" s="37" t="str">
        <f>IF(ISBLANK(Charged!K254),"",Charged!K254)</f>
        <v/>
      </c>
      <c r="H254" s="35" t="str">
        <f t="shared" si="7"/>
        <v/>
      </c>
    </row>
    <row r="255" spans="1:8" s="9" customFormat="1" ht="139.5" customHeight="1">
      <c r="A255" s="35" t="str">
        <f t="shared" si="6"/>
        <v/>
      </c>
      <c r="B255" s="38" t="str">
        <f>IF(ISBLANK(Charged!B255),"",Charged!B255)</f>
        <v/>
      </c>
      <c r="C255" s="38" t="str">
        <f>IF(ISBLANK(Charged!C255),"",CONCATENATE(Charged!C255,", ",Charged!D255))</f>
        <v/>
      </c>
      <c r="D255" s="38" t="str">
        <f>IF(ISBLANK(Charged!E255),"",Charged!E255)</f>
        <v/>
      </c>
      <c r="E255" s="38" t="str">
        <f>IF(ISBLANK(Charged!F255),"",Charged!F255)</f>
        <v/>
      </c>
      <c r="F255" s="39" t="str">
        <f>IF(ISBLANK(Charged!H255),"",Charged!H255)</f>
        <v/>
      </c>
      <c r="G255" s="37" t="str">
        <f>IF(ISBLANK(Charged!K255),"",Charged!K255)</f>
        <v/>
      </c>
      <c r="H255" s="35" t="str">
        <f t="shared" si="7"/>
        <v/>
      </c>
    </row>
    <row r="256" spans="1:8" s="9" customFormat="1" ht="139.5" customHeight="1">
      <c r="A256" s="35" t="str">
        <f t="shared" si="6"/>
        <v/>
      </c>
      <c r="B256" s="38" t="str">
        <f>IF(ISBLANK(Charged!B256),"",Charged!B256)</f>
        <v/>
      </c>
      <c r="C256" s="38" t="str">
        <f>IF(ISBLANK(Charged!C256),"",CONCATENATE(Charged!C256,", ",Charged!D256))</f>
        <v/>
      </c>
      <c r="D256" s="38" t="str">
        <f>IF(ISBLANK(Charged!E256),"",Charged!E256)</f>
        <v/>
      </c>
      <c r="E256" s="38" t="str">
        <f>IF(ISBLANK(Charged!F256),"",Charged!F256)</f>
        <v/>
      </c>
      <c r="F256" s="39" t="str">
        <f>IF(ISBLANK(Charged!H256),"",Charged!H256)</f>
        <v/>
      </c>
      <c r="G256" s="37" t="str">
        <f>IF(ISBLANK(Charged!K256),"",Charged!K256)</f>
        <v/>
      </c>
      <c r="H256" s="35" t="str">
        <f t="shared" si="7"/>
        <v/>
      </c>
    </row>
    <row r="257" spans="1:8" s="9" customFormat="1" ht="139.5" customHeight="1">
      <c r="A257" s="35" t="str">
        <f t="shared" si="6"/>
        <v/>
      </c>
      <c r="B257" s="38" t="str">
        <f>IF(ISBLANK(Charged!B257),"",Charged!B257)</f>
        <v/>
      </c>
      <c r="C257" s="38" t="str">
        <f>IF(ISBLANK(Charged!C257),"",CONCATENATE(Charged!C257,", ",Charged!D257))</f>
        <v/>
      </c>
      <c r="D257" s="38" t="str">
        <f>IF(ISBLANK(Charged!E257),"",Charged!E257)</f>
        <v/>
      </c>
      <c r="E257" s="38" t="str">
        <f>IF(ISBLANK(Charged!F257),"",Charged!F257)</f>
        <v/>
      </c>
      <c r="F257" s="39" t="str">
        <f>IF(ISBLANK(Charged!H257),"",Charged!H257)</f>
        <v/>
      </c>
      <c r="G257" s="37" t="str">
        <f>IF(ISBLANK(Charged!K257),"",Charged!K257)</f>
        <v/>
      </c>
      <c r="H257" s="35" t="str">
        <f t="shared" si="7"/>
        <v/>
      </c>
    </row>
    <row r="258" spans="1:8" s="9" customFormat="1" ht="139.5" customHeight="1">
      <c r="A258" s="35" t="str">
        <f t="shared" si="6"/>
        <v/>
      </c>
      <c r="B258" s="38" t="str">
        <f>IF(ISBLANK(Charged!B258),"",Charged!B258)</f>
        <v/>
      </c>
      <c r="C258" s="38" t="str">
        <f>IF(ISBLANK(Charged!C258),"",CONCATENATE(Charged!C258,", ",Charged!D258))</f>
        <v/>
      </c>
      <c r="D258" s="38" t="str">
        <f>IF(ISBLANK(Charged!E258),"",Charged!E258)</f>
        <v/>
      </c>
      <c r="E258" s="38" t="str">
        <f>IF(ISBLANK(Charged!F258),"",Charged!F258)</f>
        <v/>
      </c>
      <c r="F258" s="39" t="str">
        <f>IF(ISBLANK(Charged!H258),"",Charged!H258)</f>
        <v/>
      </c>
      <c r="G258" s="37" t="str">
        <f>IF(ISBLANK(Charged!K258),"",Charged!K258)</f>
        <v/>
      </c>
      <c r="H258" s="35" t="str">
        <f t="shared" si="7"/>
        <v/>
      </c>
    </row>
    <row r="259" spans="1:8" s="9" customFormat="1" ht="139.5" customHeight="1">
      <c r="A259" s="35" t="str">
        <f t="shared" ref="A259:A301" si="8">IF(B259="","",CONCATENATE("*",B259,"*"))</f>
        <v/>
      </c>
      <c r="B259" s="38" t="str">
        <f>IF(ISBLANK(Charged!B259),"",Charged!B259)</f>
        <v/>
      </c>
      <c r="C259" s="38" t="str">
        <f>IF(ISBLANK(Charged!C259),"",CONCATENATE(Charged!C259,", ",Charged!D259))</f>
        <v/>
      </c>
      <c r="D259" s="38" t="str">
        <f>IF(ISBLANK(Charged!E259),"",Charged!E259)</f>
        <v/>
      </c>
      <c r="E259" s="38" t="str">
        <f>IF(ISBLANK(Charged!F259),"",Charged!F259)</f>
        <v/>
      </c>
      <c r="F259" s="39" t="str">
        <f>IF(ISBLANK(Charged!H259),"",Charged!H259)</f>
        <v/>
      </c>
      <c r="G259" s="37" t="str">
        <f>IF(ISBLANK(Charged!K259),"",Charged!K259)</f>
        <v/>
      </c>
      <c r="H259" s="35" t="str">
        <f t="shared" ref="H259:H301" si="9">IF(D259="","",CONCATENATE("*",D259,"*"))</f>
        <v/>
      </c>
    </row>
    <row r="260" spans="1:8" s="9" customFormat="1" ht="139.5" customHeight="1">
      <c r="A260" s="35" t="str">
        <f t="shared" si="8"/>
        <v/>
      </c>
      <c r="B260" s="38" t="str">
        <f>IF(ISBLANK(Charged!B260),"",Charged!B260)</f>
        <v/>
      </c>
      <c r="C260" s="38" t="str">
        <f>IF(ISBLANK(Charged!C260),"",CONCATENATE(Charged!C260,", ",Charged!D260))</f>
        <v/>
      </c>
      <c r="D260" s="38" t="str">
        <f>IF(ISBLANK(Charged!E260),"",Charged!E260)</f>
        <v/>
      </c>
      <c r="E260" s="38" t="str">
        <f>IF(ISBLANK(Charged!F260),"",Charged!F260)</f>
        <v/>
      </c>
      <c r="F260" s="39" t="str">
        <f>IF(ISBLANK(Charged!H260),"",Charged!H260)</f>
        <v/>
      </c>
      <c r="G260" s="37" t="str">
        <f>IF(ISBLANK(Charged!K260),"",Charged!K260)</f>
        <v/>
      </c>
      <c r="H260" s="35" t="str">
        <f t="shared" si="9"/>
        <v/>
      </c>
    </row>
    <row r="261" spans="1:8" s="9" customFormat="1" ht="139.5" customHeight="1">
      <c r="A261" s="35" t="str">
        <f t="shared" si="8"/>
        <v/>
      </c>
      <c r="B261" s="38" t="str">
        <f>IF(ISBLANK(Charged!B261),"",Charged!B261)</f>
        <v/>
      </c>
      <c r="C261" s="38" t="str">
        <f>IF(ISBLANK(Charged!C261),"",CONCATENATE(Charged!C261,", ",Charged!D261))</f>
        <v/>
      </c>
      <c r="D261" s="38" t="str">
        <f>IF(ISBLANK(Charged!E261),"",Charged!E261)</f>
        <v/>
      </c>
      <c r="E261" s="38" t="str">
        <f>IF(ISBLANK(Charged!F261),"",Charged!F261)</f>
        <v/>
      </c>
      <c r="F261" s="39" t="str">
        <f>IF(ISBLANK(Charged!H261),"",Charged!H261)</f>
        <v/>
      </c>
      <c r="G261" s="37" t="str">
        <f>IF(ISBLANK(Charged!K261),"",Charged!K261)</f>
        <v/>
      </c>
      <c r="H261" s="35" t="str">
        <f t="shared" si="9"/>
        <v/>
      </c>
    </row>
    <row r="262" spans="1:8" s="9" customFormat="1" ht="139.5" customHeight="1">
      <c r="A262" s="35" t="str">
        <f t="shared" si="8"/>
        <v/>
      </c>
      <c r="B262" s="38" t="str">
        <f>IF(ISBLANK(Charged!B262),"",Charged!B262)</f>
        <v/>
      </c>
      <c r="C262" s="38" t="str">
        <f>IF(ISBLANK(Charged!C262),"",CONCATENATE(Charged!C262,", ",Charged!D262))</f>
        <v/>
      </c>
      <c r="D262" s="38" t="str">
        <f>IF(ISBLANK(Charged!E262),"",Charged!E262)</f>
        <v/>
      </c>
      <c r="E262" s="38" t="str">
        <f>IF(ISBLANK(Charged!F262),"",Charged!F262)</f>
        <v/>
      </c>
      <c r="F262" s="39" t="str">
        <f>IF(ISBLANK(Charged!H262),"",Charged!H262)</f>
        <v/>
      </c>
      <c r="G262" s="37" t="str">
        <f>IF(ISBLANK(Charged!K262),"",Charged!K262)</f>
        <v/>
      </c>
      <c r="H262" s="35" t="str">
        <f t="shared" si="9"/>
        <v/>
      </c>
    </row>
    <row r="263" spans="1:8" s="9" customFormat="1" ht="139.5" customHeight="1">
      <c r="A263" s="35" t="str">
        <f t="shared" si="8"/>
        <v/>
      </c>
      <c r="B263" s="38" t="str">
        <f>IF(ISBLANK(Charged!B263),"",Charged!B263)</f>
        <v/>
      </c>
      <c r="C263" s="38" t="str">
        <f>IF(ISBLANK(Charged!C263),"",CONCATENATE(Charged!C263,", ",Charged!D263))</f>
        <v/>
      </c>
      <c r="D263" s="38" t="str">
        <f>IF(ISBLANK(Charged!E263),"",Charged!E263)</f>
        <v/>
      </c>
      <c r="E263" s="38" t="str">
        <f>IF(ISBLANK(Charged!F263),"",Charged!F263)</f>
        <v/>
      </c>
      <c r="F263" s="39" t="str">
        <f>IF(ISBLANK(Charged!H263),"",Charged!H263)</f>
        <v/>
      </c>
      <c r="G263" s="37" t="str">
        <f>IF(ISBLANK(Charged!K263),"",Charged!K263)</f>
        <v/>
      </c>
      <c r="H263" s="35" t="str">
        <f t="shared" si="9"/>
        <v/>
      </c>
    </row>
    <row r="264" spans="1:8" s="9" customFormat="1" ht="139.5" customHeight="1">
      <c r="A264" s="35" t="str">
        <f t="shared" si="8"/>
        <v/>
      </c>
      <c r="B264" s="38" t="str">
        <f>IF(ISBLANK(Charged!B264),"",Charged!B264)</f>
        <v/>
      </c>
      <c r="C264" s="38" t="str">
        <f>IF(ISBLANK(Charged!C264),"",CONCATENATE(Charged!C264,", ",Charged!D264))</f>
        <v/>
      </c>
      <c r="D264" s="38" t="str">
        <f>IF(ISBLANK(Charged!E264),"",Charged!E264)</f>
        <v/>
      </c>
      <c r="E264" s="38" t="str">
        <f>IF(ISBLANK(Charged!F264),"",Charged!F264)</f>
        <v/>
      </c>
      <c r="F264" s="39" t="str">
        <f>IF(ISBLANK(Charged!H264),"",Charged!H264)</f>
        <v/>
      </c>
      <c r="G264" s="37" t="str">
        <f>IF(ISBLANK(Charged!K264),"",Charged!K264)</f>
        <v/>
      </c>
      <c r="H264" s="35" t="str">
        <f t="shared" si="9"/>
        <v/>
      </c>
    </row>
    <row r="265" spans="1:8" s="9" customFormat="1" ht="139.5" customHeight="1">
      <c r="A265" s="35" t="str">
        <f t="shared" si="8"/>
        <v/>
      </c>
      <c r="B265" s="38" t="str">
        <f>IF(ISBLANK(Charged!B265),"",Charged!B265)</f>
        <v/>
      </c>
      <c r="C265" s="38" t="str">
        <f>IF(ISBLANK(Charged!C265),"",CONCATENATE(Charged!C265,", ",Charged!D265))</f>
        <v/>
      </c>
      <c r="D265" s="38" t="str">
        <f>IF(ISBLANK(Charged!E265),"",Charged!E265)</f>
        <v/>
      </c>
      <c r="E265" s="38" t="str">
        <f>IF(ISBLANK(Charged!F265),"",Charged!F265)</f>
        <v/>
      </c>
      <c r="F265" s="39" t="str">
        <f>IF(ISBLANK(Charged!H265),"",Charged!H265)</f>
        <v/>
      </c>
      <c r="G265" s="37" t="str">
        <f>IF(ISBLANK(Charged!K265),"",Charged!K265)</f>
        <v/>
      </c>
      <c r="H265" s="35" t="str">
        <f t="shared" si="9"/>
        <v/>
      </c>
    </row>
    <row r="266" spans="1:8" s="9" customFormat="1" ht="139.5" customHeight="1">
      <c r="A266" s="35" t="str">
        <f t="shared" si="8"/>
        <v/>
      </c>
      <c r="B266" s="38" t="str">
        <f>IF(ISBLANK(Charged!B266),"",Charged!B266)</f>
        <v/>
      </c>
      <c r="C266" s="38" t="str">
        <f>IF(ISBLANK(Charged!C266),"",CONCATENATE(Charged!C266,", ",Charged!D266))</f>
        <v/>
      </c>
      <c r="D266" s="38" t="str">
        <f>IF(ISBLANK(Charged!E266),"",Charged!E266)</f>
        <v/>
      </c>
      <c r="E266" s="38" t="str">
        <f>IF(ISBLANK(Charged!F266),"",Charged!F266)</f>
        <v/>
      </c>
      <c r="F266" s="39" t="str">
        <f>IF(ISBLANK(Charged!H266),"",Charged!H266)</f>
        <v/>
      </c>
      <c r="G266" s="37" t="str">
        <f>IF(ISBLANK(Charged!K266),"",Charged!K266)</f>
        <v/>
      </c>
      <c r="H266" s="35" t="str">
        <f t="shared" si="9"/>
        <v/>
      </c>
    </row>
    <row r="267" spans="1:8" s="9" customFormat="1" ht="139.5" customHeight="1">
      <c r="A267" s="35" t="str">
        <f t="shared" si="8"/>
        <v/>
      </c>
      <c r="B267" s="38" t="str">
        <f>IF(ISBLANK(Charged!B267),"",Charged!B267)</f>
        <v/>
      </c>
      <c r="C267" s="38" t="str">
        <f>IF(ISBLANK(Charged!C267),"",CONCATENATE(Charged!C267,", ",Charged!D267))</f>
        <v/>
      </c>
      <c r="D267" s="38" t="str">
        <f>IF(ISBLANK(Charged!E267),"",Charged!E267)</f>
        <v/>
      </c>
      <c r="E267" s="38" t="str">
        <f>IF(ISBLANK(Charged!F267),"",Charged!F267)</f>
        <v/>
      </c>
      <c r="F267" s="39" t="str">
        <f>IF(ISBLANK(Charged!H267),"",Charged!H267)</f>
        <v/>
      </c>
      <c r="G267" s="37" t="str">
        <f>IF(ISBLANK(Charged!K267),"",Charged!K267)</f>
        <v/>
      </c>
      <c r="H267" s="35" t="str">
        <f t="shared" si="9"/>
        <v/>
      </c>
    </row>
    <row r="268" spans="1:8" s="9" customFormat="1" ht="139.5" customHeight="1">
      <c r="A268" s="35" t="str">
        <f t="shared" si="8"/>
        <v/>
      </c>
      <c r="B268" s="38" t="str">
        <f>IF(ISBLANK(Charged!B268),"",Charged!B268)</f>
        <v/>
      </c>
      <c r="C268" s="38" t="str">
        <f>IF(ISBLANK(Charged!C268),"",CONCATENATE(Charged!C268,", ",Charged!D268))</f>
        <v/>
      </c>
      <c r="D268" s="38" t="str">
        <f>IF(ISBLANK(Charged!E268),"",Charged!E268)</f>
        <v/>
      </c>
      <c r="E268" s="38" t="str">
        <f>IF(ISBLANK(Charged!F268),"",Charged!F268)</f>
        <v/>
      </c>
      <c r="F268" s="39" t="str">
        <f>IF(ISBLANK(Charged!H268),"",Charged!H268)</f>
        <v/>
      </c>
      <c r="G268" s="37" t="str">
        <f>IF(ISBLANK(Charged!K268),"",Charged!K268)</f>
        <v/>
      </c>
      <c r="H268" s="35" t="str">
        <f t="shared" si="9"/>
        <v/>
      </c>
    </row>
    <row r="269" spans="1:8" s="9" customFormat="1" ht="139.5" customHeight="1">
      <c r="A269" s="35" t="str">
        <f t="shared" si="8"/>
        <v/>
      </c>
      <c r="B269" s="38" t="str">
        <f>IF(ISBLANK(Charged!B269),"",Charged!B269)</f>
        <v/>
      </c>
      <c r="C269" s="38" t="str">
        <f>IF(ISBLANK(Charged!C269),"",CONCATENATE(Charged!C269,", ",Charged!D269))</f>
        <v/>
      </c>
      <c r="D269" s="38" t="str">
        <f>IF(ISBLANK(Charged!E269),"",Charged!E269)</f>
        <v/>
      </c>
      <c r="E269" s="38" t="str">
        <f>IF(ISBLANK(Charged!F269),"",Charged!F269)</f>
        <v/>
      </c>
      <c r="F269" s="39" t="str">
        <f>IF(ISBLANK(Charged!H269),"",Charged!H269)</f>
        <v/>
      </c>
      <c r="G269" s="37" t="str">
        <f>IF(ISBLANK(Charged!K269),"",Charged!K269)</f>
        <v/>
      </c>
      <c r="H269" s="35" t="str">
        <f t="shared" si="9"/>
        <v/>
      </c>
    </row>
    <row r="270" spans="1:8" s="9" customFormat="1" ht="139.5" customHeight="1">
      <c r="A270" s="35" t="str">
        <f t="shared" si="8"/>
        <v/>
      </c>
      <c r="B270" s="38" t="str">
        <f>IF(ISBLANK(Charged!B270),"",Charged!B270)</f>
        <v/>
      </c>
      <c r="C270" s="38" t="str">
        <f>IF(ISBLANK(Charged!C270),"",CONCATENATE(Charged!C270,", ",Charged!D270))</f>
        <v/>
      </c>
      <c r="D270" s="38" t="str">
        <f>IF(ISBLANK(Charged!E270),"",Charged!E270)</f>
        <v/>
      </c>
      <c r="E270" s="38" t="str">
        <f>IF(ISBLANK(Charged!F270),"",Charged!F270)</f>
        <v/>
      </c>
      <c r="F270" s="39" t="str">
        <f>IF(ISBLANK(Charged!H270),"",Charged!H270)</f>
        <v/>
      </c>
      <c r="G270" s="37" t="str">
        <f>IF(ISBLANK(Charged!K270),"",Charged!K270)</f>
        <v/>
      </c>
      <c r="H270" s="35" t="str">
        <f t="shared" si="9"/>
        <v/>
      </c>
    </row>
    <row r="271" spans="1:8" s="9" customFormat="1" ht="139.5" customHeight="1">
      <c r="A271" s="35" t="str">
        <f t="shared" si="8"/>
        <v/>
      </c>
      <c r="B271" s="38" t="str">
        <f>IF(ISBLANK(Charged!B271),"",Charged!B271)</f>
        <v/>
      </c>
      <c r="C271" s="38" t="str">
        <f>IF(ISBLANK(Charged!C271),"",CONCATENATE(Charged!C271,", ",Charged!D271))</f>
        <v/>
      </c>
      <c r="D271" s="38" t="str">
        <f>IF(ISBLANK(Charged!E271),"",Charged!E271)</f>
        <v/>
      </c>
      <c r="E271" s="38" t="str">
        <f>IF(ISBLANK(Charged!F271),"",Charged!F271)</f>
        <v/>
      </c>
      <c r="F271" s="39" t="str">
        <f>IF(ISBLANK(Charged!H271),"",Charged!H271)</f>
        <v/>
      </c>
      <c r="G271" s="37" t="str">
        <f>IF(ISBLANK(Charged!K271),"",Charged!K271)</f>
        <v/>
      </c>
      <c r="H271" s="35" t="str">
        <f t="shared" si="9"/>
        <v/>
      </c>
    </row>
    <row r="272" spans="1:8" s="9" customFormat="1" ht="139.5" customHeight="1">
      <c r="A272" s="35" t="str">
        <f t="shared" si="8"/>
        <v/>
      </c>
      <c r="B272" s="38" t="str">
        <f>IF(ISBLANK(Charged!B272),"",Charged!B272)</f>
        <v/>
      </c>
      <c r="C272" s="38" t="str">
        <f>IF(ISBLANK(Charged!C272),"",CONCATENATE(Charged!C272,", ",Charged!D272))</f>
        <v/>
      </c>
      <c r="D272" s="38" t="str">
        <f>IF(ISBLANK(Charged!E272),"",Charged!E272)</f>
        <v/>
      </c>
      <c r="E272" s="38" t="str">
        <f>IF(ISBLANK(Charged!F272),"",Charged!F272)</f>
        <v/>
      </c>
      <c r="F272" s="39" t="str">
        <f>IF(ISBLANK(Charged!H272),"",Charged!H272)</f>
        <v/>
      </c>
      <c r="G272" s="37" t="str">
        <f>IF(ISBLANK(Charged!K272),"",Charged!K272)</f>
        <v/>
      </c>
      <c r="H272" s="35" t="str">
        <f t="shared" si="9"/>
        <v/>
      </c>
    </row>
    <row r="273" spans="1:8" s="9" customFormat="1" ht="139.5" customHeight="1">
      <c r="A273" s="35" t="str">
        <f t="shared" si="8"/>
        <v/>
      </c>
      <c r="B273" s="38" t="str">
        <f>IF(ISBLANK(Charged!B273),"",Charged!B273)</f>
        <v/>
      </c>
      <c r="C273" s="38" t="str">
        <f>IF(ISBLANK(Charged!C273),"",CONCATENATE(Charged!C273,", ",Charged!D273))</f>
        <v/>
      </c>
      <c r="D273" s="38" t="str">
        <f>IF(ISBLANK(Charged!E273),"",Charged!E273)</f>
        <v/>
      </c>
      <c r="E273" s="38" t="str">
        <f>IF(ISBLANK(Charged!F273),"",Charged!F273)</f>
        <v/>
      </c>
      <c r="F273" s="39" t="str">
        <f>IF(ISBLANK(Charged!H273),"",Charged!H273)</f>
        <v/>
      </c>
      <c r="G273" s="37" t="str">
        <f>IF(ISBLANK(Charged!K273),"",Charged!K273)</f>
        <v/>
      </c>
      <c r="H273" s="35" t="str">
        <f t="shared" si="9"/>
        <v/>
      </c>
    </row>
    <row r="274" spans="1:8" s="9" customFormat="1" ht="139.5" customHeight="1">
      <c r="A274" s="35" t="str">
        <f t="shared" si="8"/>
        <v/>
      </c>
      <c r="B274" s="38" t="str">
        <f>IF(ISBLANK(Charged!B274),"",Charged!B274)</f>
        <v/>
      </c>
      <c r="C274" s="38" t="str">
        <f>IF(ISBLANK(Charged!C274),"",CONCATENATE(Charged!C274,", ",Charged!D274))</f>
        <v/>
      </c>
      <c r="D274" s="38" t="str">
        <f>IF(ISBLANK(Charged!E274),"",Charged!E274)</f>
        <v/>
      </c>
      <c r="E274" s="38" t="str">
        <f>IF(ISBLANK(Charged!F274),"",Charged!F274)</f>
        <v/>
      </c>
      <c r="F274" s="39" t="str">
        <f>IF(ISBLANK(Charged!H274),"",Charged!H274)</f>
        <v/>
      </c>
      <c r="G274" s="37" t="str">
        <f>IF(ISBLANK(Charged!K274),"",Charged!K274)</f>
        <v/>
      </c>
      <c r="H274" s="35" t="str">
        <f t="shared" si="9"/>
        <v/>
      </c>
    </row>
    <row r="275" spans="1:8" s="9" customFormat="1" ht="139.5" customHeight="1">
      <c r="A275" s="35" t="str">
        <f t="shared" si="8"/>
        <v/>
      </c>
      <c r="B275" s="38" t="str">
        <f>IF(ISBLANK(Charged!B275),"",Charged!B275)</f>
        <v/>
      </c>
      <c r="C275" s="38" t="str">
        <f>IF(ISBLANK(Charged!C275),"",CONCATENATE(Charged!C275,", ",Charged!D275))</f>
        <v/>
      </c>
      <c r="D275" s="38" t="str">
        <f>IF(ISBLANK(Charged!E275),"",Charged!E275)</f>
        <v/>
      </c>
      <c r="E275" s="38" t="str">
        <f>IF(ISBLANK(Charged!F275),"",Charged!F275)</f>
        <v/>
      </c>
      <c r="F275" s="39" t="str">
        <f>IF(ISBLANK(Charged!H275),"",Charged!H275)</f>
        <v/>
      </c>
      <c r="G275" s="37" t="str">
        <f>IF(ISBLANK(Charged!K275),"",Charged!K275)</f>
        <v/>
      </c>
      <c r="H275" s="35" t="str">
        <f t="shared" si="9"/>
        <v/>
      </c>
    </row>
    <row r="276" spans="1:8" s="9" customFormat="1" ht="139.5" customHeight="1">
      <c r="A276" s="35" t="str">
        <f t="shared" si="8"/>
        <v/>
      </c>
      <c r="B276" s="38" t="str">
        <f>IF(ISBLANK(Charged!B276),"",Charged!B276)</f>
        <v/>
      </c>
      <c r="C276" s="38" t="str">
        <f>IF(ISBLANK(Charged!C276),"",CONCATENATE(Charged!C276,", ",Charged!D276))</f>
        <v/>
      </c>
      <c r="D276" s="38" t="str">
        <f>IF(ISBLANK(Charged!E276),"",Charged!E276)</f>
        <v/>
      </c>
      <c r="E276" s="38" t="str">
        <f>IF(ISBLANK(Charged!F276),"",Charged!F276)</f>
        <v/>
      </c>
      <c r="F276" s="39" t="str">
        <f>IF(ISBLANK(Charged!H276),"",Charged!H276)</f>
        <v/>
      </c>
      <c r="G276" s="37" t="str">
        <f>IF(ISBLANK(Charged!K276),"",Charged!K276)</f>
        <v/>
      </c>
      <c r="H276" s="35" t="str">
        <f t="shared" si="9"/>
        <v/>
      </c>
    </row>
    <row r="277" spans="1:8" s="9" customFormat="1" ht="139.5" customHeight="1">
      <c r="A277" s="35" t="str">
        <f t="shared" si="8"/>
        <v/>
      </c>
      <c r="B277" s="38" t="str">
        <f>IF(ISBLANK(Charged!B277),"",Charged!B277)</f>
        <v/>
      </c>
      <c r="C277" s="38" t="str">
        <f>IF(ISBLANK(Charged!C277),"",CONCATENATE(Charged!C277,", ",Charged!D277))</f>
        <v/>
      </c>
      <c r="D277" s="38" t="str">
        <f>IF(ISBLANK(Charged!E277),"",Charged!E277)</f>
        <v/>
      </c>
      <c r="E277" s="38" t="str">
        <f>IF(ISBLANK(Charged!F277),"",Charged!F277)</f>
        <v/>
      </c>
      <c r="F277" s="39" t="str">
        <f>IF(ISBLANK(Charged!H277),"",Charged!H277)</f>
        <v/>
      </c>
      <c r="G277" s="37" t="str">
        <f>IF(ISBLANK(Charged!K277),"",Charged!K277)</f>
        <v/>
      </c>
      <c r="H277" s="35" t="str">
        <f t="shared" si="9"/>
        <v/>
      </c>
    </row>
    <row r="278" spans="1:8" s="9" customFormat="1" ht="139.5" customHeight="1">
      <c r="A278" s="35" t="str">
        <f t="shared" si="8"/>
        <v/>
      </c>
      <c r="B278" s="38" t="str">
        <f>IF(ISBLANK(Charged!B278),"",Charged!B278)</f>
        <v/>
      </c>
      <c r="C278" s="38" t="str">
        <f>IF(ISBLANK(Charged!C278),"",CONCATENATE(Charged!C278,", ",Charged!D278))</f>
        <v/>
      </c>
      <c r="D278" s="38" t="str">
        <f>IF(ISBLANK(Charged!E278),"",Charged!E278)</f>
        <v/>
      </c>
      <c r="E278" s="38" t="str">
        <f>IF(ISBLANK(Charged!F278),"",Charged!F278)</f>
        <v/>
      </c>
      <c r="F278" s="39" t="str">
        <f>IF(ISBLANK(Charged!H278),"",Charged!H278)</f>
        <v/>
      </c>
      <c r="G278" s="37" t="str">
        <f>IF(ISBLANK(Charged!K278),"",Charged!K278)</f>
        <v/>
      </c>
      <c r="H278" s="35" t="str">
        <f t="shared" si="9"/>
        <v/>
      </c>
    </row>
    <row r="279" spans="1:8" s="9" customFormat="1" ht="139.5" customHeight="1">
      <c r="A279" s="35" t="str">
        <f t="shared" si="8"/>
        <v/>
      </c>
      <c r="B279" s="38" t="str">
        <f>IF(ISBLANK(Charged!B279),"",Charged!B279)</f>
        <v/>
      </c>
      <c r="C279" s="38" t="str">
        <f>IF(ISBLANK(Charged!C279),"",CONCATENATE(Charged!C279,", ",Charged!D279))</f>
        <v/>
      </c>
      <c r="D279" s="38" t="str">
        <f>IF(ISBLANK(Charged!E279),"",Charged!E279)</f>
        <v/>
      </c>
      <c r="E279" s="38" t="str">
        <f>IF(ISBLANK(Charged!F279),"",Charged!F279)</f>
        <v/>
      </c>
      <c r="F279" s="39" t="str">
        <f>IF(ISBLANK(Charged!H279),"",Charged!H279)</f>
        <v/>
      </c>
      <c r="G279" s="37" t="str">
        <f>IF(ISBLANK(Charged!K279),"",Charged!K279)</f>
        <v/>
      </c>
      <c r="H279" s="35" t="str">
        <f t="shared" si="9"/>
        <v/>
      </c>
    </row>
    <row r="280" spans="1:8" s="9" customFormat="1" ht="139.5" customHeight="1">
      <c r="A280" s="35" t="str">
        <f t="shared" si="8"/>
        <v/>
      </c>
      <c r="B280" s="38" t="str">
        <f>IF(ISBLANK(Charged!B280),"",Charged!B280)</f>
        <v/>
      </c>
      <c r="C280" s="38" t="str">
        <f>IF(ISBLANK(Charged!C280),"",CONCATENATE(Charged!C280,", ",Charged!D280))</f>
        <v/>
      </c>
      <c r="D280" s="38" t="str">
        <f>IF(ISBLANK(Charged!E280),"",Charged!E280)</f>
        <v/>
      </c>
      <c r="E280" s="38" t="str">
        <f>IF(ISBLANK(Charged!F280),"",Charged!F280)</f>
        <v/>
      </c>
      <c r="F280" s="39" t="str">
        <f>IF(ISBLANK(Charged!H280),"",Charged!H280)</f>
        <v/>
      </c>
      <c r="G280" s="37" t="str">
        <f>IF(ISBLANK(Charged!K280),"",Charged!K280)</f>
        <v/>
      </c>
      <c r="H280" s="35" t="str">
        <f t="shared" si="9"/>
        <v/>
      </c>
    </row>
    <row r="281" spans="1:8" s="9" customFormat="1" ht="139.5" customHeight="1">
      <c r="A281" s="35" t="str">
        <f t="shared" si="8"/>
        <v/>
      </c>
      <c r="B281" s="38" t="str">
        <f>IF(ISBLANK(Charged!B281),"",Charged!B281)</f>
        <v/>
      </c>
      <c r="C281" s="38" t="str">
        <f>IF(ISBLANK(Charged!C281),"",CONCATENATE(Charged!C281,", ",Charged!D281))</f>
        <v/>
      </c>
      <c r="D281" s="38" t="str">
        <f>IF(ISBLANK(Charged!E281),"",Charged!E281)</f>
        <v/>
      </c>
      <c r="E281" s="38" t="str">
        <f>IF(ISBLANK(Charged!F281),"",Charged!F281)</f>
        <v/>
      </c>
      <c r="F281" s="39" t="str">
        <f>IF(ISBLANK(Charged!H281),"",Charged!H281)</f>
        <v/>
      </c>
      <c r="G281" s="37" t="str">
        <f>IF(ISBLANK(Charged!K281),"",Charged!K281)</f>
        <v/>
      </c>
      <c r="H281" s="35" t="str">
        <f t="shared" si="9"/>
        <v/>
      </c>
    </row>
    <row r="282" spans="1:8" s="9" customFormat="1" ht="139.5" customHeight="1">
      <c r="A282" s="35" t="str">
        <f t="shared" si="8"/>
        <v/>
      </c>
      <c r="B282" s="38" t="str">
        <f>IF(ISBLANK(Charged!B282),"",Charged!B282)</f>
        <v/>
      </c>
      <c r="C282" s="38" t="str">
        <f>IF(ISBLANK(Charged!C282),"",CONCATENATE(Charged!C282,", ",Charged!D282))</f>
        <v/>
      </c>
      <c r="D282" s="38" t="str">
        <f>IF(ISBLANK(Charged!E282),"",Charged!E282)</f>
        <v/>
      </c>
      <c r="E282" s="38" t="str">
        <f>IF(ISBLANK(Charged!F282),"",Charged!F282)</f>
        <v/>
      </c>
      <c r="F282" s="39" t="str">
        <f>IF(ISBLANK(Charged!H282),"",Charged!H282)</f>
        <v/>
      </c>
      <c r="G282" s="37" t="str">
        <f>IF(ISBLANK(Charged!K282),"",Charged!K282)</f>
        <v/>
      </c>
      <c r="H282" s="35" t="str">
        <f t="shared" si="9"/>
        <v/>
      </c>
    </row>
    <row r="283" spans="1:8" s="9" customFormat="1" ht="139.5" customHeight="1">
      <c r="A283" s="35" t="str">
        <f t="shared" si="8"/>
        <v/>
      </c>
      <c r="B283" s="38" t="str">
        <f>IF(ISBLANK(Charged!B283),"",Charged!B283)</f>
        <v/>
      </c>
      <c r="C283" s="38" t="str">
        <f>IF(ISBLANK(Charged!C283),"",CONCATENATE(Charged!C283,", ",Charged!D283))</f>
        <v/>
      </c>
      <c r="D283" s="38" t="str">
        <f>IF(ISBLANK(Charged!E283),"",Charged!E283)</f>
        <v/>
      </c>
      <c r="E283" s="38" t="str">
        <f>IF(ISBLANK(Charged!F283),"",Charged!F283)</f>
        <v/>
      </c>
      <c r="F283" s="39" t="str">
        <f>IF(ISBLANK(Charged!H283),"",Charged!H283)</f>
        <v/>
      </c>
      <c r="G283" s="37" t="str">
        <f>IF(ISBLANK(Charged!K283),"",Charged!K283)</f>
        <v/>
      </c>
      <c r="H283" s="35" t="str">
        <f t="shared" si="9"/>
        <v/>
      </c>
    </row>
    <row r="284" spans="1:8" s="9" customFormat="1" ht="139.5" customHeight="1">
      <c r="A284" s="35" t="str">
        <f t="shared" si="8"/>
        <v/>
      </c>
      <c r="B284" s="38" t="str">
        <f>IF(ISBLANK(Charged!B284),"",Charged!B284)</f>
        <v/>
      </c>
      <c r="C284" s="38" t="str">
        <f>IF(ISBLANK(Charged!C284),"",CONCATENATE(Charged!C284,", ",Charged!D284))</f>
        <v/>
      </c>
      <c r="D284" s="38" t="str">
        <f>IF(ISBLANK(Charged!E284),"",Charged!E284)</f>
        <v/>
      </c>
      <c r="E284" s="38" t="str">
        <f>IF(ISBLANK(Charged!F284),"",Charged!F284)</f>
        <v/>
      </c>
      <c r="F284" s="39" t="str">
        <f>IF(ISBLANK(Charged!H284),"",Charged!H284)</f>
        <v/>
      </c>
      <c r="G284" s="37" t="str">
        <f>IF(ISBLANK(Charged!K284),"",Charged!K284)</f>
        <v/>
      </c>
      <c r="H284" s="35" t="str">
        <f t="shared" si="9"/>
        <v/>
      </c>
    </row>
    <row r="285" spans="1:8" s="9" customFormat="1" ht="139.5" customHeight="1">
      <c r="A285" s="35" t="str">
        <f t="shared" si="8"/>
        <v/>
      </c>
      <c r="B285" s="38" t="str">
        <f>IF(ISBLANK(Charged!B285),"",Charged!B285)</f>
        <v/>
      </c>
      <c r="C285" s="38" t="str">
        <f>IF(ISBLANK(Charged!C285),"",CONCATENATE(Charged!C285,", ",Charged!D285))</f>
        <v/>
      </c>
      <c r="D285" s="38" t="str">
        <f>IF(ISBLANK(Charged!E285),"",Charged!E285)</f>
        <v/>
      </c>
      <c r="E285" s="38" t="str">
        <f>IF(ISBLANK(Charged!F285),"",Charged!F285)</f>
        <v/>
      </c>
      <c r="F285" s="39" t="str">
        <f>IF(ISBLANK(Charged!H285),"",Charged!H285)</f>
        <v/>
      </c>
      <c r="G285" s="37" t="str">
        <f>IF(ISBLANK(Charged!K285),"",Charged!K285)</f>
        <v/>
      </c>
      <c r="H285" s="35" t="str">
        <f t="shared" si="9"/>
        <v/>
      </c>
    </row>
    <row r="286" spans="1:8" s="9" customFormat="1" ht="139.5" customHeight="1">
      <c r="A286" s="35" t="str">
        <f t="shared" si="8"/>
        <v/>
      </c>
      <c r="B286" s="38" t="str">
        <f>IF(ISBLANK(Charged!B286),"",Charged!B286)</f>
        <v/>
      </c>
      <c r="C286" s="38" t="str">
        <f>IF(ISBLANK(Charged!C286),"",CONCATENATE(Charged!C286,", ",Charged!D286))</f>
        <v/>
      </c>
      <c r="D286" s="38" t="str">
        <f>IF(ISBLANK(Charged!E286),"",Charged!E286)</f>
        <v/>
      </c>
      <c r="E286" s="38" t="str">
        <f>IF(ISBLANK(Charged!F286),"",Charged!F286)</f>
        <v/>
      </c>
      <c r="F286" s="39" t="str">
        <f>IF(ISBLANK(Charged!H286),"",Charged!H286)</f>
        <v/>
      </c>
      <c r="G286" s="37" t="str">
        <f>IF(ISBLANK(Charged!K286),"",Charged!K286)</f>
        <v/>
      </c>
      <c r="H286" s="35" t="str">
        <f t="shared" si="9"/>
        <v/>
      </c>
    </row>
    <row r="287" spans="1:8" s="9" customFormat="1" ht="139.5" customHeight="1">
      <c r="A287" s="35" t="str">
        <f t="shared" si="8"/>
        <v/>
      </c>
      <c r="B287" s="38" t="str">
        <f>IF(ISBLANK(Charged!B287),"",Charged!B287)</f>
        <v/>
      </c>
      <c r="C287" s="38" t="str">
        <f>IF(ISBLANK(Charged!C287),"",CONCATENATE(Charged!C287,", ",Charged!D287))</f>
        <v/>
      </c>
      <c r="D287" s="38" t="str">
        <f>IF(ISBLANK(Charged!E287),"",Charged!E287)</f>
        <v/>
      </c>
      <c r="E287" s="38" t="str">
        <f>IF(ISBLANK(Charged!F287),"",Charged!F287)</f>
        <v/>
      </c>
      <c r="F287" s="39" t="str">
        <f>IF(ISBLANK(Charged!H287),"",Charged!H287)</f>
        <v/>
      </c>
      <c r="G287" s="37" t="str">
        <f>IF(ISBLANK(Charged!K287),"",Charged!K287)</f>
        <v/>
      </c>
      <c r="H287" s="35" t="str">
        <f t="shared" si="9"/>
        <v/>
      </c>
    </row>
    <row r="288" spans="1:8" s="9" customFormat="1" ht="139.5" customHeight="1">
      <c r="A288" s="35" t="str">
        <f t="shared" si="8"/>
        <v/>
      </c>
      <c r="B288" s="38" t="str">
        <f>IF(ISBLANK(Charged!B288),"",Charged!B288)</f>
        <v/>
      </c>
      <c r="C288" s="38" t="str">
        <f>IF(ISBLANK(Charged!C288),"",CONCATENATE(Charged!C288,", ",Charged!D288))</f>
        <v/>
      </c>
      <c r="D288" s="38" t="str">
        <f>IF(ISBLANK(Charged!E288),"",Charged!E288)</f>
        <v/>
      </c>
      <c r="E288" s="38" t="str">
        <f>IF(ISBLANK(Charged!F288),"",Charged!F288)</f>
        <v/>
      </c>
      <c r="F288" s="39" t="str">
        <f>IF(ISBLANK(Charged!H288),"",Charged!H288)</f>
        <v/>
      </c>
      <c r="G288" s="37" t="str">
        <f>IF(ISBLANK(Charged!K288),"",Charged!K288)</f>
        <v/>
      </c>
      <c r="H288" s="35" t="str">
        <f t="shared" si="9"/>
        <v/>
      </c>
    </row>
    <row r="289" spans="1:8" s="9" customFormat="1" ht="139.5" customHeight="1">
      <c r="A289" s="35" t="str">
        <f t="shared" si="8"/>
        <v/>
      </c>
      <c r="B289" s="38" t="str">
        <f>IF(ISBLANK(Charged!B289),"",Charged!B289)</f>
        <v/>
      </c>
      <c r="C289" s="38" t="str">
        <f>IF(ISBLANK(Charged!C289),"",CONCATENATE(Charged!C289,", ",Charged!D289))</f>
        <v/>
      </c>
      <c r="D289" s="38" t="str">
        <f>IF(ISBLANK(Charged!E289),"",Charged!E289)</f>
        <v/>
      </c>
      <c r="E289" s="38" t="str">
        <f>IF(ISBLANK(Charged!F289),"",Charged!F289)</f>
        <v/>
      </c>
      <c r="F289" s="39" t="str">
        <f>IF(ISBLANK(Charged!H289),"",Charged!H289)</f>
        <v/>
      </c>
      <c r="G289" s="37" t="str">
        <f>IF(ISBLANK(Charged!K289),"",Charged!K289)</f>
        <v/>
      </c>
      <c r="H289" s="35" t="str">
        <f t="shared" si="9"/>
        <v/>
      </c>
    </row>
    <row r="290" spans="1:8" s="9" customFormat="1" ht="139.5" customHeight="1">
      <c r="A290" s="35" t="str">
        <f t="shared" si="8"/>
        <v/>
      </c>
      <c r="B290" s="38" t="str">
        <f>IF(ISBLANK(Charged!B290),"",Charged!B290)</f>
        <v/>
      </c>
      <c r="C290" s="38" t="str">
        <f>IF(ISBLANK(Charged!C290),"",CONCATENATE(Charged!C290,", ",Charged!D290))</f>
        <v/>
      </c>
      <c r="D290" s="38" t="str">
        <f>IF(ISBLANK(Charged!E290),"",Charged!E290)</f>
        <v/>
      </c>
      <c r="E290" s="38" t="str">
        <f>IF(ISBLANK(Charged!F290),"",Charged!F290)</f>
        <v/>
      </c>
      <c r="F290" s="39" t="str">
        <f>IF(ISBLANK(Charged!H290),"",Charged!H290)</f>
        <v/>
      </c>
      <c r="G290" s="37" t="str">
        <f>IF(ISBLANK(Charged!K290),"",Charged!K290)</f>
        <v/>
      </c>
      <c r="H290" s="35" t="str">
        <f t="shared" si="9"/>
        <v/>
      </c>
    </row>
    <row r="291" spans="1:8" s="9" customFormat="1" ht="139.5" customHeight="1">
      <c r="A291" s="35" t="str">
        <f t="shared" si="8"/>
        <v/>
      </c>
      <c r="B291" s="38" t="str">
        <f>IF(ISBLANK(Charged!B291),"",Charged!B291)</f>
        <v/>
      </c>
      <c r="C291" s="38" t="str">
        <f>IF(ISBLANK(Charged!C291),"",CONCATENATE(Charged!C291,", ",Charged!D291))</f>
        <v/>
      </c>
      <c r="D291" s="38" t="str">
        <f>IF(ISBLANK(Charged!E291),"",Charged!E291)</f>
        <v/>
      </c>
      <c r="E291" s="38" t="str">
        <f>IF(ISBLANK(Charged!F291),"",Charged!F291)</f>
        <v/>
      </c>
      <c r="F291" s="39" t="str">
        <f>IF(ISBLANK(Charged!H291),"",Charged!H291)</f>
        <v/>
      </c>
      <c r="G291" s="37" t="str">
        <f>IF(ISBLANK(Charged!K291),"",Charged!K291)</f>
        <v/>
      </c>
      <c r="H291" s="35" t="str">
        <f t="shared" si="9"/>
        <v/>
      </c>
    </row>
    <row r="292" spans="1:8" s="9" customFormat="1" ht="139.5" customHeight="1">
      <c r="A292" s="35" t="str">
        <f t="shared" si="8"/>
        <v/>
      </c>
      <c r="B292" s="38" t="str">
        <f>IF(ISBLANK(Charged!B292),"",Charged!B292)</f>
        <v/>
      </c>
      <c r="C292" s="38" t="str">
        <f>IF(ISBLANK(Charged!C292),"",CONCATENATE(Charged!C292,", ",Charged!D292))</f>
        <v/>
      </c>
      <c r="D292" s="38" t="str">
        <f>IF(ISBLANK(Charged!E292),"",Charged!E292)</f>
        <v/>
      </c>
      <c r="E292" s="38" t="str">
        <f>IF(ISBLANK(Charged!F292),"",Charged!F292)</f>
        <v/>
      </c>
      <c r="F292" s="39" t="str">
        <f>IF(ISBLANK(Charged!H292),"",Charged!H292)</f>
        <v/>
      </c>
      <c r="G292" s="37" t="str">
        <f>IF(ISBLANK(Charged!K292),"",Charged!K292)</f>
        <v/>
      </c>
      <c r="H292" s="35" t="str">
        <f t="shared" si="9"/>
        <v/>
      </c>
    </row>
    <row r="293" spans="1:8" s="9" customFormat="1" ht="139.5" customHeight="1">
      <c r="A293" s="35" t="str">
        <f t="shared" si="8"/>
        <v/>
      </c>
      <c r="B293" s="38" t="str">
        <f>IF(ISBLANK(Charged!B293),"",Charged!B293)</f>
        <v/>
      </c>
      <c r="C293" s="38" t="str">
        <f>IF(ISBLANK(Charged!C293),"",CONCATENATE(Charged!C293,", ",Charged!D293))</f>
        <v/>
      </c>
      <c r="D293" s="38" t="str">
        <f>IF(ISBLANK(Charged!E293),"",Charged!E293)</f>
        <v/>
      </c>
      <c r="E293" s="38" t="str">
        <f>IF(ISBLANK(Charged!F293),"",Charged!F293)</f>
        <v/>
      </c>
      <c r="F293" s="39" t="str">
        <f>IF(ISBLANK(Charged!H293),"",Charged!H293)</f>
        <v/>
      </c>
      <c r="G293" s="37" t="str">
        <f>IF(ISBLANK(Charged!K293),"",Charged!K293)</f>
        <v/>
      </c>
      <c r="H293" s="35" t="str">
        <f t="shared" si="9"/>
        <v/>
      </c>
    </row>
    <row r="294" spans="1:8" s="9" customFormat="1" ht="139.5" customHeight="1">
      <c r="A294" s="35" t="str">
        <f t="shared" si="8"/>
        <v/>
      </c>
      <c r="B294" s="38" t="str">
        <f>IF(ISBLANK(Charged!B294),"",Charged!B294)</f>
        <v/>
      </c>
      <c r="C294" s="38" t="str">
        <f>IF(ISBLANK(Charged!C294),"",CONCATENATE(Charged!C294,", ",Charged!D294))</f>
        <v/>
      </c>
      <c r="D294" s="38" t="str">
        <f>IF(ISBLANK(Charged!E294),"",Charged!E294)</f>
        <v/>
      </c>
      <c r="E294" s="38" t="str">
        <f>IF(ISBLANK(Charged!F294),"",Charged!F294)</f>
        <v/>
      </c>
      <c r="F294" s="39" t="str">
        <f>IF(ISBLANK(Charged!H294),"",Charged!H294)</f>
        <v/>
      </c>
      <c r="G294" s="37" t="str">
        <f>IF(ISBLANK(Charged!K294),"",Charged!K294)</f>
        <v/>
      </c>
      <c r="H294" s="35" t="str">
        <f t="shared" si="9"/>
        <v/>
      </c>
    </row>
    <row r="295" spans="1:8" s="9" customFormat="1" ht="139.5" customHeight="1">
      <c r="A295" s="35" t="str">
        <f t="shared" si="8"/>
        <v/>
      </c>
      <c r="B295" s="38" t="str">
        <f>IF(ISBLANK(Charged!B295),"",Charged!B295)</f>
        <v/>
      </c>
      <c r="C295" s="38" t="str">
        <f>IF(ISBLANK(Charged!C295),"",CONCATENATE(Charged!C295,", ",Charged!D295))</f>
        <v/>
      </c>
      <c r="D295" s="38" t="str">
        <f>IF(ISBLANK(Charged!E295),"",Charged!E295)</f>
        <v/>
      </c>
      <c r="E295" s="38" t="str">
        <f>IF(ISBLANK(Charged!F295),"",Charged!F295)</f>
        <v/>
      </c>
      <c r="F295" s="39" t="str">
        <f>IF(ISBLANK(Charged!H295),"",Charged!H295)</f>
        <v/>
      </c>
      <c r="G295" s="37" t="str">
        <f>IF(ISBLANK(Charged!K295),"",Charged!K295)</f>
        <v/>
      </c>
      <c r="H295" s="35" t="str">
        <f t="shared" si="9"/>
        <v/>
      </c>
    </row>
    <row r="296" spans="1:8" s="9" customFormat="1" ht="139.5" customHeight="1">
      <c r="A296" s="35" t="str">
        <f t="shared" si="8"/>
        <v/>
      </c>
      <c r="B296" s="38" t="str">
        <f>IF(ISBLANK(Charged!B296),"",Charged!B296)</f>
        <v/>
      </c>
      <c r="C296" s="38" t="str">
        <f>IF(ISBLANK(Charged!C296),"",CONCATENATE(Charged!C296,", ",Charged!D296))</f>
        <v/>
      </c>
      <c r="D296" s="38" t="str">
        <f>IF(ISBLANK(Charged!E296),"",Charged!E296)</f>
        <v/>
      </c>
      <c r="E296" s="38" t="str">
        <f>IF(ISBLANK(Charged!F296),"",Charged!F296)</f>
        <v/>
      </c>
      <c r="F296" s="39" t="str">
        <f>IF(ISBLANK(Charged!H296),"",Charged!H296)</f>
        <v/>
      </c>
      <c r="G296" s="37" t="str">
        <f>IF(ISBLANK(Charged!K296),"",Charged!K296)</f>
        <v/>
      </c>
      <c r="H296" s="35" t="str">
        <f t="shared" si="9"/>
        <v/>
      </c>
    </row>
    <row r="297" spans="1:8" s="9" customFormat="1" ht="139.5" customHeight="1">
      <c r="A297" s="35" t="str">
        <f t="shared" si="8"/>
        <v/>
      </c>
      <c r="B297" s="38" t="str">
        <f>IF(ISBLANK(Charged!B297),"",Charged!B297)</f>
        <v/>
      </c>
      <c r="C297" s="38" t="str">
        <f>IF(ISBLANK(Charged!C297),"",CONCATENATE(Charged!C297,", ",Charged!D297))</f>
        <v/>
      </c>
      <c r="D297" s="38" t="str">
        <f>IF(ISBLANK(Charged!E297),"",Charged!E297)</f>
        <v/>
      </c>
      <c r="E297" s="38" t="str">
        <f>IF(ISBLANK(Charged!F297),"",Charged!F297)</f>
        <v/>
      </c>
      <c r="F297" s="39" t="str">
        <f>IF(ISBLANK(Charged!H297),"",Charged!H297)</f>
        <v/>
      </c>
      <c r="G297" s="37" t="str">
        <f>IF(ISBLANK(Charged!K297),"",Charged!K297)</f>
        <v/>
      </c>
      <c r="H297" s="35" t="str">
        <f t="shared" si="9"/>
        <v/>
      </c>
    </row>
    <row r="298" spans="1:8" s="9" customFormat="1" ht="139.5" customHeight="1">
      <c r="A298" s="35" t="str">
        <f t="shared" si="8"/>
        <v/>
      </c>
      <c r="B298" s="38" t="str">
        <f>IF(ISBLANK(Charged!B298),"",Charged!B298)</f>
        <v/>
      </c>
      <c r="C298" s="38" t="str">
        <f>IF(ISBLANK(Charged!C298),"",CONCATENATE(Charged!C298,", ",Charged!D298))</f>
        <v/>
      </c>
      <c r="D298" s="38" t="str">
        <f>IF(ISBLANK(Charged!E298),"",Charged!E298)</f>
        <v/>
      </c>
      <c r="E298" s="38" t="str">
        <f>IF(ISBLANK(Charged!F298),"",Charged!F298)</f>
        <v/>
      </c>
      <c r="F298" s="39" t="str">
        <f>IF(ISBLANK(Charged!H298),"",Charged!H298)</f>
        <v/>
      </c>
      <c r="G298" s="37" t="str">
        <f>IF(ISBLANK(Charged!K298),"",Charged!K298)</f>
        <v/>
      </c>
      <c r="H298" s="35" t="str">
        <f t="shared" si="9"/>
        <v/>
      </c>
    </row>
    <row r="299" spans="1:8" s="9" customFormat="1" ht="139.5" customHeight="1">
      <c r="A299" s="35" t="str">
        <f t="shared" si="8"/>
        <v/>
      </c>
      <c r="B299" s="38" t="str">
        <f>IF(ISBLANK(Charged!B299),"",Charged!B299)</f>
        <v/>
      </c>
      <c r="C299" s="38" t="str">
        <f>IF(ISBLANK(Charged!C299),"",CONCATENATE(Charged!C299,", ",Charged!D299))</f>
        <v/>
      </c>
      <c r="D299" s="38" t="str">
        <f>IF(ISBLANK(Charged!E299),"",Charged!E299)</f>
        <v/>
      </c>
      <c r="E299" s="38" t="str">
        <f>IF(ISBLANK(Charged!F299),"",Charged!F299)</f>
        <v/>
      </c>
      <c r="F299" s="39" t="str">
        <f>IF(ISBLANK(Charged!H299),"",Charged!H299)</f>
        <v/>
      </c>
      <c r="G299" s="37" t="str">
        <f>IF(ISBLANK(Charged!K299),"",Charged!K299)</f>
        <v/>
      </c>
      <c r="H299" s="35" t="str">
        <f t="shared" si="9"/>
        <v/>
      </c>
    </row>
    <row r="300" spans="1:8" s="9" customFormat="1" ht="139.5" customHeight="1">
      <c r="A300" s="35" t="str">
        <f t="shared" si="8"/>
        <v/>
      </c>
      <c r="B300" s="38" t="str">
        <f>IF(ISBLANK(Charged!B300),"",Charged!B300)</f>
        <v/>
      </c>
      <c r="C300" s="38" t="str">
        <f>IF(ISBLANK(Charged!C300),"",CONCATENATE(Charged!C300,", ",Charged!D300))</f>
        <v/>
      </c>
      <c r="D300" s="38" t="str">
        <f>IF(ISBLANK(Charged!E300),"",Charged!E300)</f>
        <v/>
      </c>
      <c r="E300" s="38" t="str">
        <f>IF(ISBLANK(Charged!F300),"",Charged!F300)</f>
        <v/>
      </c>
      <c r="F300" s="39" t="str">
        <f>IF(ISBLANK(Charged!H300),"",Charged!H300)</f>
        <v/>
      </c>
      <c r="G300" s="37" t="str">
        <f>IF(ISBLANK(Charged!K300),"",Charged!K300)</f>
        <v/>
      </c>
      <c r="H300" s="35" t="str">
        <f t="shared" si="9"/>
        <v/>
      </c>
    </row>
    <row r="301" spans="1:8" s="9" customFormat="1" ht="139.5" customHeight="1">
      <c r="A301" s="35" t="str">
        <f t="shared" si="8"/>
        <v/>
      </c>
      <c r="B301" s="38" t="str">
        <f>IF(ISBLANK(Charged!B301),"",Charged!B301)</f>
        <v/>
      </c>
      <c r="C301" s="38" t="str">
        <f>IF(ISBLANK(Charged!C301),"",CONCATENATE(Charged!C301,", ",Charged!D301))</f>
        <v/>
      </c>
      <c r="D301" s="38" t="str">
        <f>IF(ISBLANK(Charged!E301),"",Charged!E301)</f>
        <v/>
      </c>
      <c r="E301" s="38" t="str">
        <f>IF(ISBLANK(Charged!F301),"",Charged!F301)</f>
        <v/>
      </c>
      <c r="F301" s="39" t="str">
        <f>IF(ISBLANK(Charged!H301),"",Charged!H301)</f>
        <v/>
      </c>
      <c r="G301" s="37" t="str">
        <f>IF(ISBLANK(Charged!K301),"",Charged!K301)</f>
        <v/>
      </c>
      <c r="H301" s="35" t="str">
        <f t="shared" si="9"/>
        <v/>
      </c>
    </row>
    <row r="302" spans="1:8" s="8" customFormat="1">
      <c r="A302" s="46"/>
      <c r="B302" s="43"/>
      <c r="C302" s="43"/>
      <c r="D302" s="43"/>
      <c r="E302" s="43"/>
      <c r="F302" s="44"/>
      <c r="G302" s="44"/>
      <c r="H302" s="46"/>
    </row>
  </sheetData>
  <customSheetViews>
    <customSheetView guid="{7656BB3C-1299-4E61-A887-A5F4101AF2AB}" scale="40" fitToPage="1" hiddenColumns="1">
      <pane ySplit="1" topLeftCell="A2" activePane="bottomLeft" state="frozen"/>
      <selection pane="bottomLeft"/>
      <pageMargins left="0.25" right="0.25" top="0.25" bottom="0.25" header="0.3" footer="0.3"/>
      <printOptions horizontalCentered="1" verticalCentered="1"/>
    </customSheetView>
    <customSheetView guid="{DB3826DE-0319-4671-8564-0DA8C5492560}" scale="40" fitToPage="1" hiddenColumns="1">
      <pane ySplit="1" topLeftCell="A2" activePane="bottomLeft" state="frozen"/>
      <selection pane="bottomLeft"/>
      <pageMargins left="0.25" right="0.25" top="0.25" bottom="0.25" header="0.3" footer="0.3"/>
      <printOptions horizontalCentered="1" verticalCentered="1"/>
      <pageSetup scale="10" orientation="portrait" horizontalDpi="4294967295" verticalDpi="4294967295" r:id="rId1"/>
    </customSheetView>
  </customSheetViews>
  <phoneticPr fontId="4" type="noConversion"/>
  <printOptions horizontalCentered="1" verticalCentered="1"/>
  <pageMargins left="0.25" right="0.25" top="0.25" bottom="0.25" header="0.3" footer="0.3"/>
  <pageSetup scale="10" orientation="portrait" horizontalDpi="4294967295" verticalDpi="4294967295" r:id="rId2"/>
  <extLst>
    <ext xmlns:mx="http://schemas.microsoft.com/office/mac/excel/2008/main" uri="{64002731-A6B0-56B0-2670-7721B7C09600}">
      <mx:PLV Mode="0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>
    <tabColor theme="2" tint="-0.499984740745262"/>
    <pageSetUpPr fitToPage="1"/>
  </sheetPr>
  <dimension ref="A1:I302"/>
  <sheetViews>
    <sheetView zoomScale="40" zoomScaleNormal="40" zoomScalePageLayoutView="40" workbookViewId="0">
      <pane ySplit="1" topLeftCell="A2" activePane="bottomLeft" state="frozen"/>
      <selection pane="bottomLeft" activeCell="I3" sqref="I3"/>
    </sheetView>
  </sheetViews>
  <sheetFormatPr defaultColWidth="9" defaultRowHeight="188.25"/>
  <cols>
    <col min="1" max="1" width="49.5" style="35" customWidth="1"/>
    <col min="2" max="2" width="23.625" style="38" hidden="1" customWidth="1"/>
    <col min="3" max="3" width="41.125" style="39" customWidth="1"/>
    <col min="4" max="4" width="23.125" style="38" hidden="1" customWidth="1"/>
    <col min="5" max="5" width="22.125" style="38" customWidth="1"/>
    <col min="6" max="6" width="46.125" style="39" customWidth="1"/>
    <col min="7" max="7" width="31.125" style="38" customWidth="1"/>
    <col min="8" max="8" width="34.125" style="38" customWidth="1"/>
    <col min="9" max="9" width="65.875" style="35" customWidth="1"/>
  </cols>
  <sheetData>
    <row r="1" spans="1:9" s="41" customFormat="1" ht="26.25">
      <c r="A1" s="33" t="s">
        <v>138</v>
      </c>
      <c r="B1" s="42" t="s">
        <v>0</v>
      </c>
      <c r="C1" s="42" t="s">
        <v>139</v>
      </c>
      <c r="D1" s="42" t="s">
        <v>118</v>
      </c>
      <c r="E1" s="42" t="s">
        <v>135</v>
      </c>
      <c r="F1" s="42" t="s">
        <v>140</v>
      </c>
      <c r="G1" s="42" t="s">
        <v>121</v>
      </c>
      <c r="H1" s="42" t="s">
        <v>131</v>
      </c>
      <c r="I1" s="33" t="s">
        <v>141</v>
      </c>
    </row>
    <row r="2" spans="1:9" ht="143.25" customHeight="1">
      <c r="A2" s="35" t="str">
        <f t="shared" ref="A2:A65" si="0">IF(B2="","",CONCATENATE("*",B2,"*"))</f>
        <v/>
      </c>
      <c r="B2" s="38" t="str">
        <f>IF(ISBLANK(Discharged!B2),"",Discharged!B2)</f>
        <v/>
      </c>
      <c r="C2" s="39" t="str">
        <f>IF(ISBLANK(Discharged!C2),"",CONCATENATE(Discharged!C2,", ",Discharged!D2))</f>
        <v/>
      </c>
      <c r="D2" s="38" t="str">
        <f>IF(ISBLANK(Discharged!E2),"",Discharged!E2)</f>
        <v/>
      </c>
      <c r="E2" s="38" t="str">
        <f>IF(ISBLANK(Discharged!F2),"",Discharged!F2)</f>
        <v/>
      </c>
      <c r="F2" s="39" t="str">
        <f>IF(ISBLANK(Discharged!H2),"",Discharged!H2)</f>
        <v/>
      </c>
      <c r="G2" s="40" t="str">
        <f>IF(ISBLANK(Discharged!K2),"",Discharged!K2)</f>
        <v/>
      </c>
      <c r="H2" s="40" t="str">
        <f>IF(ISBLANK(Discharged!M2),"",Discharged!M2)</f>
        <v/>
      </c>
      <c r="I2" s="35" t="str">
        <f t="shared" ref="I2:I65" si="1">IF(D2="","",CONCATENATE("*",D2,"*"))</f>
        <v/>
      </c>
    </row>
    <row r="3" spans="1:9" ht="143.25" customHeight="1">
      <c r="A3" s="35" t="str">
        <f t="shared" si="0"/>
        <v/>
      </c>
      <c r="B3" s="38" t="str">
        <f>IF(ISBLANK(Discharged!B3),"",Discharged!B3)</f>
        <v/>
      </c>
      <c r="C3" s="39" t="str">
        <f>IF(ISBLANK(Discharged!C3),"",CONCATENATE(Discharged!C3,", ",Discharged!D3))</f>
        <v/>
      </c>
      <c r="D3" s="38" t="str">
        <f>IF(ISBLANK(Discharged!E3),"",Discharged!E3)</f>
        <v/>
      </c>
      <c r="E3" s="38" t="str">
        <f>IF(ISBLANK(Discharged!F3),"",Discharged!F3)</f>
        <v/>
      </c>
      <c r="F3" s="39" t="str">
        <f>IF(ISBLANK(Discharged!H3),"",Discharged!H3)</f>
        <v/>
      </c>
      <c r="G3" s="40" t="str">
        <f>IF(ISBLANK(Discharged!K3),"",Discharged!K3)</f>
        <v/>
      </c>
      <c r="H3" s="40" t="str">
        <f>IF(ISBLANK(Discharged!M3),"",Discharged!M3)</f>
        <v/>
      </c>
      <c r="I3" s="35" t="str">
        <f t="shared" si="1"/>
        <v/>
      </c>
    </row>
    <row r="4" spans="1:9" ht="143.25" customHeight="1">
      <c r="A4" s="35" t="str">
        <f t="shared" si="0"/>
        <v/>
      </c>
      <c r="B4" s="38" t="str">
        <f>IF(ISBLANK(Discharged!B4),"",Discharged!B4)</f>
        <v/>
      </c>
      <c r="C4" s="39" t="str">
        <f>IF(ISBLANK(Discharged!C4),"",CONCATENATE(Discharged!C4,", ",Discharged!D4))</f>
        <v/>
      </c>
      <c r="D4" s="38" t="str">
        <f>IF(ISBLANK(Discharged!E4),"",Discharged!E4)</f>
        <v/>
      </c>
      <c r="E4" s="38" t="str">
        <f>IF(ISBLANK(Discharged!F4),"",Discharged!F4)</f>
        <v/>
      </c>
      <c r="F4" s="39" t="str">
        <f>IF(ISBLANK(Discharged!H4),"",Discharged!H4)</f>
        <v/>
      </c>
      <c r="G4" s="40" t="str">
        <f>IF(ISBLANK(Discharged!K4),"",Discharged!K4)</f>
        <v/>
      </c>
      <c r="H4" s="40" t="str">
        <f>IF(ISBLANK(Discharged!M4),"",Discharged!M4)</f>
        <v/>
      </c>
      <c r="I4" s="35" t="str">
        <f t="shared" si="1"/>
        <v/>
      </c>
    </row>
    <row r="5" spans="1:9" ht="143.25" customHeight="1">
      <c r="A5" s="35" t="str">
        <f t="shared" si="0"/>
        <v/>
      </c>
      <c r="B5" s="38" t="str">
        <f>IF(ISBLANK(Discharged!B5),"",Discharged!B5)</f>
        <v/>
      </c>
      <c r="C5" s="39" t="str">
        <f>IF(ISBLANK(Discharged!C5),"",CONCATENATE(Discharged!C5,", ",Discharged!D5))</f>
        <v/>
      </c>
      <c r="D5" s="38" t="str">
        <f>IF(ISBLANK(Discharged!E5),"",Discharged!E5)</f>
        <v/>
      </c>
      <c r="E5" s="38" t="str">
        <f>IF(ISBLANK(Discharged!F5),"",Discharged!F5)</f>
        <v/>
      </c>
      <c r="F5" s="39" t="str">
        <f>IF(ISBLANK(Discharged!H5),"",Discharged!H5)</f>
        <v/>
      </c>
      <c r="G5" s="40" t="str">
        <f>IF(ISBLANK(Discharged!K5),"",Discharged!K5)</f>
        <v/>
      </c>
      <c r="H5" s="40" t="str">
        <f>IF(ISBLANK(Discharged!M5),"",Discharged!M5)</f>
        <v/>
      </c>
      <c r="I5" s="35" t="str">
        <f t="shared" si="1"/>
        <v/>
      </c>
    </row>
    <row r="6" spans="1:9" ht="143.25" customHeight="1">
      <c r="A6" s="35" t="str">
        <f t="shared" si="0"/>
        <v/>
      </c>
      <c r="B6" s="38" t="str">
        <f>IF(ISBLANK(Discharged!B6),"",Discharged!B6)</f>
        <v/>
      </c>
      <c r="C6" s="39" t="str">
        <f>IF(ISBLANK(Discharged!C6),"",CONCATENATE(Discharged!C6,", ",Discharged!D6))</f>
        <v/>
      </c>
      <c r="D6" s="38" t="str">
        <f>IF(ISBLANK(Discharged!E6),"",Discharged!E6)</f>
        <v/>
      </c>
      <c r="E6" s="38" t="str">
        <f>IF(ISBLANK(Discharged!F6),"",Discharged!F6)</f>
        <v/>
      </c>
      <c r="F6" s="39" t="str">
        <f>IF(ISBLANK(Discharged!H6),"",Discharged!H6)</f>
        <v/>
      </c>
      <c r="G6" s="40" t="str">
        <f>IF(ISBLANK(Discharged!K6),"",Discharged!K6)</f>
        <v/>
      </c>
      <c r="H6" s="40" t="str">
        <f>IF(ISBLANK(Discharged!M6),"",Discharged!M6)</f>
        <v/>
      </c>
      <c r="I6" s="35" t="str">
        <f t="shared" si="1"/>
        <v/>
      </c>
    </row>
    <row r="7" spans="1:9" ht="143.25" customHeight="1">
      <c r="A7" s="35" t="str">
        <f t="shared" si="0"/>
        <v/>
      </c>
      <c r="B7" s="38" t="str">
        <f>IF(ISBLANK(Discharged!B7),"",Discharged!B7)</f>
        <v/>
      </c>
      <c r="C7" s="39" t="str">
        <f>IF(ISBLANK(Discharged!C7),"",CONCATENATE(Discharged!C7,", ",Discharged!D7))</f>
        <v/>
      </c>
      <c r="D7" s="38" t="str">
        <f>IF(ISBLANK(Discharged!E7),"",Discharged!E7)</f>
        <v/>
      </c>
      <c r="E7" s="38" t="str">
        <f>IF(ISBLANK(Discharged!F7),"",Discharged!F7)</f>
        <v/>
      </c>
      <c r="F7" s="39" t="str">
        <f>IF(ISBLANK(Discharged!H7),"",Discharged!H7)</f>
        <v/>
      </c>
      <c r="G7" s="40" t="str">
        <f>IF(ISBLANK(Discharged!K7),"",Discharged!K7)</f>
        <v/>
      </c>
      <c r="H7" s="40" t="str">
        <f>IF(ISBLANK(Discharged!M7),"",Discharged!M7)</f>
        <v/>
      </c>
      <c r="I7" s="35" t="str">
        <f t="shared" si="1"/>
        <v/>
      </c>
    </row>
    <row r="8" spans="1:9" ht="143.25" customHeight="1">
      <c r="A8" s="35" t="str">
        <f t="shared" si="0"/>
        <v/>
      </c>
      <c r="B8" s="38" t="str">
        <f>IF(ISBLANK(Discharged!B8),"",Discharged!B8)</f>
        <v/>
      </c>
      <c r="C8" s="39" t="str">
        <f>IF(ISBLANK(Discharged!C8),"",CONCATENATE(Discharged!C8,", ",Discharged!D8))</f>
        <v/>
      </c>
      <c r="D8" s="38" t="str">
        <f>IF(ISBLANK(Discharged!E8),"",Discharged!E8)</f>
        <v/>
      </c>
      <c r="E8" s="38" t="str">
        <f>IF(ISBLANK(Discharged!F8),"",Discharged!F8)</f>
        <v/>
      </c>
      <c r="F8" s="39" t="str">
        <f>IF(ISBLANK(Discharged!H8),"",Discharged!H8)</f>
        <v/>
      </c>
      <c r="G8" s="40" t="str">
        <f>IF(ISBLANK(Discharged!K8),"",Discharged!K8)</f>
        <v/>
      </c>
      <c r="H8" s="40" t="str">
        <f>IF(ISBLANK(Discharged!M8),"",Discharged!M8)</f>
        <v/>
      </c>
      <c r="I8" s="35" t="str">
        <f t="shared" si="1"/>
        <v/>
      </c>
    </row>
    <row r="9" spans="1:9" ht="143.25" customHeight="1">
      <c r="A9" s="35" t="str">
        <f t="shared" si="0"/>
        <v/>
      </c>
      <c r="B9" s="38" t="str">
        <f>IF(ISBLANK(Discharged!B9),"",Discharged!B9)</f>
        <v/>
      </c>
      <c r="C9" s="39" t="str">
        <f>IF(ISBLANK(Discharged!C9),"",CONCATENATE(Discharged!C9,", ",Discharged!D9))</f>
        <v/>
      </c>
      <c r="D9" s="38" t="str">
        <f>IF(ISBLANK(Discharged!E9),"",Discharged!E9)</f>
        <v/>
      </c>
      <c r="E9" s="38" t="str">
        <f>IF(ISBLANK(Discharged!F9),"",Discharged!F9)</f>
        <v/>
      </c>
      <c r="F9" s="39" t="str">
        <f>IF(ISBLANK(Discharged!H9),"",Discharged!H9)</f>
        <v/>
      </c>
      <c r="G9" s="40" t="str">
        <f>IF(ISBLANK(Discharged!K9),"",Discharged!K9)</f>
        <v/>
      </c>
      <c r="H9" s="40" t="str">
        <f>IF(ISBLANK(Discharged!M9),"",Discharged!M9)</f>
        <v/>
      </c>
      <c r="I9" s="35" t="str">
        <f t="shared" si="1"/>
        <v/>
      </c>
    </row>
    <row r="10" spans="1:9" ht="143.25" customHeight="1">
      <c r="A10" s="35" t="str">
        <f t="shared" si="0"/>
        <v/>
      </c>
      <c r="B10" s="38" t="str">
        <f>IF(ISBLANK(Discharged!B10),"",Discharged!B10)</f>
        <v/>
      </c>
      <c r="C10" s="39" t="str">
        <f>IF(ISBLANK(Discharged!C10),"",CONCATENATE(Discharged!C10,", ",Discharged!D10))</f>
        <v/>
      </c>
      <c r="D10" s="38" t="str">
        <f>IF(ISBLANK(Discharged!E10),"",Discharged!E10)</f>
        <v/>
      </c>
      <c r="E10" s="38" t="str">
        <f>IF(ISBLANK(Discharged!F10),"",Discharged!F10)</f>
        <v/>
      </c>
      <c r="F10" s="39" t="str">
        <f>IF(ISBLANK(Discharged!H10),"",Discharged!H10)</f>
        <v/>
      </c>
      <c r="G10" s="40" t="str">
        <f>IF(ISBLANK(Discharged!K10),"",Discharged!K10)</f>
        <v/>
      </c>
      <c r="H10" s="40" t="str">
        <f>IF(ISBLANK(Discharged!M10),"",Discharged!M10)</f>
        <v/>
      </c>
      <c r="I10" s="35" t="str">
        <f t="shared" si="1"/>
        <v/>
      </c>
    </row>
    <row r="11" spans="1:9" ht="143.25" customHeight="1">
      <c r="A11" s="35" t="str">
        <f t="shared" si="0"/>
        <v/>
      </c>
      <c r="B11" s="38" t="str">
        <f>IF(ISBLANK(Discharged!B11),"",Discharged!B11)</f>
        <v/>
      </c>
      <c r="C11" s="39" t="str">
        <f>IF(ISBLANK(Discharged!C11),"",CONCATENATE(Discharged!C11,", ",Discharged!D11))</f>
        <v/>
      </c>
      <c r="D11" s="38" t="str">
        <f>IF(ISBLANK(Discharged!E11),"",Discharged!E11)</f>
        <v/>
      </c>
      <c r="E11" s="38" t="str">
        <f>IF(ISBLANK(Discharged!F11),"",Discharged!F11)</f>
        <v/>
      </c>
      <c r="F11" s="39" t="str">
        <f>IF(ISBLANK(Discharged!H11),"",Discharged!H11)</f>
        <v/>
      </c>
      <c r="G11" s="40" t="str">
        <f>IF(ISBLANK(Discharged!K11),"",Discharged!K11)</f>
        <v/>
      </c>
      <c r="H11" s="40" t="str">
        <f>IF(ISBLANK(Discharged!M11),"",Discharged!M11)</f>
        <v/>
      </c>
      <c r="I11" s="35" t="str">
        <f t="shared" si="1"/>
        <v/>
      </c>
    </row>
    <row r="12" spans="1:9" ht="143.25" customHeight="1">
      <c r="A12" s="35" t="str">
        <f t="shared" si="0"/>
        <v/>
      </c>
      <c r="B12" s="38" t="str">
        <f>IF(ISBLANK(Discharged!B12),"",Discharged!B12)</f>
        <v/>
      </c>
      <c r="C12" s="39" t="str">
        <f>IF(ISBLANK(Discharged!C12),"",CONCATENATE(Discharged!C12,", ",Discharged!D12))</f>
        <v/>
      </c>
      <c r="D12" s="38" t="str">
        <f>IF(ISBLANK(Discharged!E12),"",Discharged!E12)</f>
        <v/>
      </c>
      <c r="E12" s="38" t="str">
        <f>IF(ISBLANK(Discharged!F12),"",Discharged!F12)</f>
        <v/>
      </c>
      <c r="F12" s="39" t="str">
        <f>IF(ISBLANK(Discharged!H12),"",Discharged!H12)</f>
        <v/>
      </c>
      <c r="G12" s="40" t="str">
        <f>IF(ISBLANK(Discharged!K12),"",Discharged!K12)</f>
        <v/>
      </c>
      <c r="H12" s="40" t="str">
        <f>IF(ISBLANK(Discharged!M12),"",Discharged!M12)</f>
        <v/>
      </c>
      <c r="I12" s="35" t="str">
        <f t="shared" si="1"/>
        <v/>
      </c>
    </row>
    <row r="13" spans="1:9" ht="143.25" customHeight="1">
      <c r="A13" s="35" t="str">
        <f t="shared" si="0"/>
        <v/>
      </c>
      <c r="B13" s="38" t="str">
        <f>IF(ISBLANK(Discharged!B13),"",Discharged!B13)</f>
        <v/>
      </c>
      <c r="C13" s="39" t="str">
        <f>IF(ISBLANK(Discharged!C13),"",CONCATENATE(Discharged!C13,", ",Discharged!D13))</f>
        <v/>
      </c>
      <c r="D13" s="38" t="str">
        <f>IF(ISBLANK(Discharged!E13),"",Discharged!E13)</f>
        <v/>
      </c>
      <c r="E13" s="38" t="str">
        <f>IF(ISBLANK(Discharged!F13),"",Discharged!F13)</f>
        <v/>
      </c>
      <c r="F13" s="39" t="str">
        <f>IF(ISBLANK(Discharged!H13),"",Discharged!H13)</f>
        <v/>
      </c>
      <c r="G13" s="40" t="str">
        <f>IF(ISBLANK(Discharged!K13),"",Discharged!K13)</f>
        <v/>
      </c>
      <c r="H13" s="40" t="str">
        <f>IF(ISBLANK(Discharged!M13),"",Discharged!M13)</f>
        <v/>
      </c>
      <c r="I13" s="35" t="str">
        <f t="shared" si="1"/>
        <v/>
      </c>
    </row>
    <row r="14" spans="1:9" ht="143.25" customHeight="1">
      <c r="A14" s="35" t="str">
        <f t="shared" si="0"/>
        <v/>
      </c>
      <c r="B14" s="38" t="str">
        <f>IF(ISBLANK(Discharged!B14),"",Discharged!B14)</f>
        <v/>
      </c>
      <c r="C14" s="39" t="str">
        <f>IF(ISBLANK(Discharged!C14),"",CONCATENATE(Discharged!C14,", ",Discharged!D14))</f>
        <v/>
      </c>
      <c r="D14" s="38" t="str">
        <f>IF(ISBLANK(Discharged!E14),"",Discharged!E14)</f>
        <v/>
      </c>
      <c r="E14" s="38" t="str">
        <f>IF(ISBLANK(Discharged!F14),"",Discharged!F14)</f>
        <v/>
      </c>
      <c r="F14" s="39" t="str">
        <f>IF(ISBLANK(Discharged!H14),"",Discharged!H14)</f>
        <v/>
      </c>
      <c r="G14" s="40" t="str">
        <f>IF(ISBLANK(Discharged!K14),"",Discharged!K14)</f>
        <v/>
      </c>
      <c r="H14" s="40" t="str">
        <f>IF(ISBLANK(Discharged!M14),"",Discharged!M14)</f>
        <v/>
      </c>
      <c r="I14" s="35" t="str">
        <f t="shared" si="1"/>
        <v/>
      </c>
    </row>
    <row r="15" spans="1:9" ht="143.25" customHeight="1">
      <c r="A15" s="35" t="str">
        <f t="shared" si="0"/>
        <v/>
      </c>
      <c r="B15" s="38" t="str">
        <f>IF(ISBLANK(Discharged!B15),"",Discharged!B15)</f>
        <v/>
      </c>
      <c r="C15" s="39" t="str">
        <f>IF(ISBLANK(Discharged!C15),"",CONCATENATE(Discharged!C15,", ",Discharged!D15))</f>
        <v/>
      </c>
      <c r="D15" s="38" t="str">
        <f>IF(ISBLANK(Discharged!E15),"",Discharged!E15)</f>
        <v/>
      </c>
      <c r="E15" s="38" t="str">
        <f>IF(ISBLANK(Discharged!F15),"",Discharged!F15)</f>
        <v/>
      </c>
      <c r="F15" s="39" t="str">
        <f>IF(ISBLANK(Discharged!H15),"",Discharged!H15)</f>
        <v/>
      </c>
      <c r="G15" s="40" t="str">
        <f>IF(ISBLANK(Discharged!K15),"",Discharged!K15)</f>
        <v/>
      </c>
      <c r="H15" s="40" t="str">
        <f>IF(ISBLANK(Discharged!M15),"",Discharged!M15)</f>
        <v/>
      </c>
      <c r="I15" s="35" t="str">
        <f t="shared" si="1"/>
        <v/>
      </c>
    </row>
    <row r="16" spans="1:9" ht="143.25" customHeight="1">
      <c r="A16" s="35" t="str">
        <f t="shared" si="0"/>
        <v/>
      </c>
      <c r="B16" s="38" t="str">
        <f>IF(ISBLANK(Discharged!B16),"",Discharged!B16)</f>
        <v/>
      </c>
      <c r="C16" s="39" t="str">
        <f>IF(ISBLANK(Discharged!C16),"",CONCATENATE(Discharged!C16,", ",Discharged!D16))</f>
        <v/>
      </c>
      <c r="D16" s="38" t="str">
        <f>IF(ISBLANK(Discharged!E16),"",Discharged!E16)</f>
        <v/>
      </c>
      <c r="E16" s="38" t="str">
        <f>IF(ISBLANK(Discharged!F16),"",Discharged!F16)</f>
        <v/>
      </c>
      <c r="F16" s="39" t="str">
        <f>IF(ISBLANK(Discharged!H16),"",Discharged!H16)</f>
        <v/>
      </c>
      <c r="G16" s="40" t="str">
        <f>IF(ISBLANK(Discharged!K16),"",Discharged!K16)</f>
        <v/>
      </c>
      <c r="H16" s="40" t="str">
        <f>IF(ISBLANK(Discharged!M16),"",Discharged!M16)</f>
        <v/>
      </c>
      <c r="I16" s="35" t="str">
        <f t="shared" si="1"/>
        <v/>
      </c>
    </row>
    <row r="17" spans="1:9" ht="143.25" customHeight="1">
      <c r="A17" s="35" t="str">
        <f t="shared" si="0"/>
        <v/>
      </c>
      <c r="B17" s="38" t="str">
        <f>IF(ISBLANK(Discharged!B17),"",Discharged!B17)</f>
        <v/>
      </c>
      <c r="C17" s="39" t="str">
        <f>IF(ISBLANK(Discharged!C17),"",CONCATENATE(Discharged!C17,", ",Discharged!D17))</f>
        <v/>
      </c>
      <c r="D17" s="38" t="str">
        <f>IF(ISBLANK(Discharged!E17),"",Discharged!E17)</f>
        <v/>
      </c>
      <c r="E17" s="38" t="str">
        <f>IF(ISBLANK(Discharged!F17),"",Discharged!F17)</f>
        <v/>
      </c>
      <c r="F17" s="39" t="str">
        <f>IF(ISBLANK(Discharged!H17),"",Discharged!H17)</f>
        <v/>
      </c>
      <c r="G17" s="40" t="str">
        <f>IF(ISBLANK(Discharged!K17),"",Discharged!K17)</f>
        <v/>
      </c>
      <c r="H17" s="40" t="str">
        <f>IF(ISBLANK(Discharged!M17),"",Discharged!M17)</f>
        <v/>
      </c>
      <c r="I17" s="35" t="str">
        <f t="shared" si="1"/>
        <v/>
      </c>
    </row>
    <row r="18" spans="1:9" ht="143.25" customHeight="1">
      <c r="A18" s="35" t="str">
        <f t="shared" si="0"/>
        <v/>
      </c>
      <c r="B18" s="38" t="str">
        <f>IF(ISBLANK(Discharged!B18),"",Discharged!B18)</f>
        <v/>
      </c>
      <c r="C18" s="39" t="str">
        <f>IF(ISBLANK(Discharged!C18),"",CONCATENATE(Discharged!C18,", ",Discharged!D18))</f>
        <v/>
      </c>
      <c r="D18" s="38" t="str">
        <f>IF(ISBLANK(Discharged!E18),"",Discharged!E18)</f>
        <v/>
      </c>
      <c r="E18" s="38" t="str">
        <f>IF(ISBLANK(Discharged!F18),"",Discharged!F18)</f>
        <v/>
      </c>
      <c r="F18" s="39" t="str">
        <f>IF(ISBLANK(Discharged!H18),"",Discharged!H18)</f>
        <v/>
      </c>
      <c r="G18" s="40" t="str">
        <f>IF(ISBLANK(Discharged!K18),"",Discharged!K18)</f>
        <v/>
      </c>
      <c r="H18" s="40" t="str">
        <f>IF(ISBLANK(Discharged!M18),"",Discharged!M18)</f>
        <v/>
      </c>
      <c r="I18" s="35" t="str">
        <f t="shared" si="1"/>
        <v/>
      </c>
    </row>
    <row r="19" spans="1:9" ht="143.25" customHeight="1">
      <c r="A19" s="35" t="str">
        <f t="shared" si="0"/>
        <v/>
      </c>
      <c r="B19" s="38" t="str">
        <f>IF(ISBLANK(Discharged!B19),"",Discharged!B19)</f>
        <v/>
      </c>
      <c r="C19" s="39" t="str">
        <f>IF(ISBLANK(Discharged!C19),"",CONCATENATE(Discharged!C19,", ",Discharged!D19))</f>
        <v/>
      </c>
      <c r="D19" s="38" t="str">
        <f>IF(ISBLANK(Discharged!E19),"",Discharged!E19)</f>
        <v/>
      </c>
      <c r="E19" s="38" t="str">
        <f>IF(ISBLANK(Discharged!F19),"",Discharged!F19)</f>
        <v/>
      </c>
      <c r="F19" s="39" t="str">
        <f>IF(ISBLANK(Discharged!H19),"",Discharged!H19)</f>
        <v/>
      </c>
      <c r="G19" s="40" t="str">
        <f>IF(ISBLANK(Discharged!K19),"",Discharged!K19)</f>
        <v/>
      </c>
      <c r="H19" s="40" t="str">
        <f>IF(ISBLANK(Discharged!M19),"",Discharged!M19)</f>
        <v/>
      </c>
      <c r="I19" s="35" t="str">
        <f t="shared" si="1"/>
        <v/>
      </c>
    </row>
    <row r="20" spans="1:9" ht="143.25" customHeight="1">
      <c r="A20" s="35" t="str">
        <f t="shared" si="0"/>
        <v/>
      </c>
      <c r="B20" s="38" t="str">
        <f>IF(ISBLANK(Discharged!B20),"",Discharged!B20)</f>
        <v/>
      </c>
      <c r="C20" s="39" t="str">
        <f>IF(ISBLANK(Discharged!C20),"",CONCATENATE(Discharged!C20,", ",Discharged!D20))</f>
        <v/>
      </c>
      <c r="D20" s="38" t="str">
        <f>IF(ISBLANK(Discharged!E20),"",Discharged!E20)</f>
        <v/>
      </c>
      <c r="E20" s="38" t="str">
        <f>IF(ISBLANK(Discharged!F20),"",Discharged!F20)</f>
        <v/>
      </c>
      <c r="F20" s="39" t="str">
        <f>IF(ISBLANK(Discharged!H20),"",Discharged!H20)</f>
        <v/>
      </c>
      <c r="G20" s="40" t="str">
        <f>IF(ISBLANK(Discharged!K20),"",Discharged!K20)</f>
        <v/>
      </c>
      <c r="H20" s="40" t="str">
        <f>IF(ISBLANK(Discharged!M20),"",Discharged!M20)</f>
        <v/>
      </c>
      <c r="I20" s="35" t="str">
        <f t="shared" si="1"/>
        <v/>
      </c>
    </row>
    <row r="21" spans="1:9" ht="143.25" customHeight="1">
      <c r="A21" s="35" t="str">
        <f t="shared" si="0"/>
        <v/>
      </c>
      <c r="B21" s="38" t="str">
        <f>IF(ISBLANK(Discharged!B21),"",Discharged!B21)</f>
        <v/>
      </c>
      <c r="C21" s="39" t="str">
        <f>IF(ISBLANK(Discharged!C21),"",CONCATENATE(Discharged!C21,", ",Discharged!D21))</f>
        <v/>
      </c>
      <c r="D21" s="38" t="str">
        <f>IF(ISBLANK(Discharged!E21),"",Discharged!E21)</f>
        <v/>
      </c>
      <c r="E21" s="38" t="str">
        <f>IF(ISBLANK(Discharged!F21),"",Discharged!F21)</f>
        <v/>
      </c>
      <c r="F21" s="39" t="str">
        <f>IF(ISBLANK(Discharged!H21),"",Discharged!H21)</f>
        <v/>
      </c>
      <c r="G21" s="40" t="str">
        <f>IF(ISBLANK(Discharged!K21),"",Discharged!K21)</f>
        <v/>
      </c>
      <c r="H21" s="40" t="str">
        <f>IF(ISBLANK(Discharged!M21),"",Discharged!M21)</f>
        <v/>
      </c>
      <c r="I21" s="35" t="str">
        <f t="shared" si="1"/>
        <v/>
      </c>
    </row>
    <row r="22" spans="1:9" ht="143.25" customHeight="1">
      <c r="A22" s="35" t="str">
        <f t="shared" si="0"/>
        <v/>
      </c>
      <c r="B22" s="38" t="str">
        <f>IF(ISBLANK(Discharged!B22),"",Discharged!B22)</f>
        <v/>
      </c>
      <c r="C22" s="39" t="str">
        <f>IF(ISBLANK(Discharged!C22),"",CONCATENATE(Discharged!C22,", ",Discharged!D22))</f>
        <v/>
      </c>
      <c r="D22" s="38" t="str">
        <f>IF(ISBLANK(Discharged!E22),"",Discharged!E22)</f>
        <v/>
      </c>
      <c r="E22" s="38" t="str">
        <f>IF(ISBLANK(Discharged!F22),"",Discharged!F22)</f>
        <v/>
      </c>
      <c r="F22" s="39" t="str">
        <f>IF(ISBLANK(Discharged!H22),"",Discharged!H22)</f>
        <v/>
      </c>
      <c r="G22" s="40" t="str">
        <f>IF(ISBLANK(Discharged!K22),"",Discharged!K22)</f>
        <v/>
      </c>
      <c r="H22" s="40" t="str">
        <f>IF(ISBLANK(Discharged!M22),"",Discharged!M22)</f>
        <v/>
      </c>
      <c r="I22" s="35" t="str">
        <f t="shared" si="1"/>
        <v/>
      </c>
    </row>
    <row r="23" spans="1:9" ht="143.25" customHeight="1">
      <c r="A23" s="35" t="str">
        <f t="shared" si="0"/>
        <v/>
      </c>
      <c r="B23" s="38" t="str">
        <f>IF(ISBLANK(Discharged!B23),"",Discharged!B23)</f>
        <v/>
      </c>
      <c r="C23" s="39" t="str">
        <f>IF(ISBLANK(Discharged!C23),"",CONCATENATE(Discharged!C23,", ",Discharged!D23))</f>
        <v/>
      </c>
      <c r="D23" s="38" t="str">
        <f>IF(ISBLANK(Discharged!E23),"",Discharged!E23)</f>
        <v/>
      </c>
      <c r="E23" s="38" t="str">
        <f>IF(ISBLANK(Discharged!F23),"",Discharged!F23)</f>
        <v/>
      </c>
      <c r="F23" s="39" t="str">
        <f>IF(ISBLANK(Discharged!H23),"",Discharged!H23)</f>
        <v/>
      </c>
      <c r="G23" s="38" t="str">
        <f>IF(ISBLANK(Discharged!K23),"",Discharged!K23)</f>
        <v/>
      </c>
      <c r="H23" s="38" t="str">
        <f>IF(ISBLANK(Discharged!M23),"",Discharged!M23)</f>
        <v/>
      </c>
      <c r="I23" s="35" t="str">
        <f t="shared" si="1"/>
        <v/>
      </c>
    </row>
    <row r="24" spans="1:9" ht="143.25" customHeight="1">
      <c r="A24" s="35" t="str">
        <f t="shared" si="0"/>
        <v/>
      </c>
      <c r="B24" s="38" t="str">
        <f>IF(ISBLANK(Discharged!B24),"",Discharged!B24)</f>
        <v/>
      </c>
      <c r="C24" s="39" t="str">
        <f>IF(ISBLANK(Discharged!C24),"",CONCATENATE(Discharged!C24,", ",Discharged!D24))</f>
        <v/>
      </c>
      <c r="D24" s="38" t="str">
        <f>IF(ISBLANK(Discharged!E24),"",Discharged!E24)</f>
        <v/>
      </c>
      <c r="E24" s="38" t="str">
        <f>IF(ISBLANK(Discharged!F24),"",Discharged!F24)</f>
        <v/>
      </c>
      <c r="F24" s="39" t="str">
        <f>IF(ISBLANK(Discharged!H24),"",Discharged!H24)</f>
        <v/>
      </c>
      <c r="G24" s="38" t="str">
        <f>IF(ISBLANK(Discharged!K24),"",Discharged!K24)</f>
        <v/>
      </c>
      <c r="H24" s="38" t="str">
        <f>IF(ISBLANK(Discharged!M24),"",Discharged!M24)</f>
        <v/>
      </c>
      <c r="I24" s="35" t="str">
        <f t="shared" si="1"/>
        <v/>
      </c>
    </row>
    <row r="25" spans="1:9" ht="143.25" customHeight="1">
      <c r="A25" s="35" t="str">
        <f t="shared" si="0"/>
        <v/>
      </c>
      <c r="B25" s="38" t="str">
        <f>IF(ISBLANK(Discharged!B25),"",Discharged!B25)</f>
        <v/>
      </c>
      <c r="C25" s="39" t="str">
        <f>IF(ISBLANK(Discharged!C25),"",CONCATENATE(Discharged!C25,", ",Discharged!D25))</f>
        <v/>
      </c>
      <c r="D25" s="38" t="str">
        <f>IF(ISBLANK(Discharged!E25),"",Discharged!E25)</f>
        <v/>
      </c>
      <c r="E25" s="38" t="str">
        <f>IF(ISBLANK(Discharged!F25),"",Discharged!F25)</f>
        <v/>
      </c>
      <c r="F25" s="39" t="str">
        <f>IF(ISBLANK(Discharged!H25),"",Discharged!H25)</f>
        <v/>
      </c>
      <c r="G25" s="38" t="str">
        <f>IF(ISBLANK(Discharged!K25),"",Discharged!K25)</f>
        <v/>
      </c>
      <c r="H25" s="38" t="str">
        <f>IF(ISBLANK(Discharged!M25),"",Discharged!M25)</f>
        <v/>
      </c>
      <c r="I25" s="35" t="str">
        <f t="shared" si="1"/>
        <v/>
      </c>
    </row>
    <row r="26" spans="1:9" ht="143.25" customHeight="1">
      <c r="A26" s="35" t="str">
        <f t="shared" si="0"/>
        <v/>
      </c>
      <c r="B26" s="38" t="str">
        <f>IF(ISBLANK(Discharged!B26),"",Discharged!B26)</f>
        <v/>
      </c>
      <c r="C26" s="39" t="str">
        <f>IF(ISBLANK(Discharged!C26),"",CONCATENATE(Discharged!C26,", ",Discharged!D26))</f>
        <v/>
      </c>
      <c r="D26" s="38" t="str">
        <f>IF(ISBLANK(Discharged!E26),"",Discharged!E26)</f>
        <v/>
      </c>
      <c r="E26" s="38" t="str">
        <f>IF(ISBLANK(Discharged!F26),"",Discharged!F26)</f>
        <v/>
      </c>
      <c r="F26" s="39" t="str">
        <f>IF(ISBLANK(Discharged!H26),"",Discharged!H26)</f>
        <v/>
      </c>
      <c r="G26" s="38" t="str">
        <f>IF(ISBLANK(Discharged!K26),"",Discharged!K26)</f>
        <v/>
      </c>
      <c r="H26" s="38" t="str">
        <f>IF(ISBLANK(Discharged!M26),"",Discharged!M26)</f>
        <v/>
      </c>
      <c r="I26" s="35" t="str">
        <f t="shared" si="1"/>
        <v/>
      </c>
    </row>
    <row r="27" spans="1:9" ht="143.25" customHeight="1">
      <c r="A27" s="35" t="str">
        <f t="shared" si="0"/>
        <v/>
      </c>
      <c r="B27" s="38" t="str">
        <f>IF(ISBLANK(Discharged!B27),"",Discharged!B27)</f>
        <v/>
      </c>
      <c r="C27" s="39" t="str">
        <f>IF(ISBLANK(Discharged!C27),"",CONCATENATE(Discharged!C27,", ",Discharged!D27))</f>
        <v/>
      </c>
      <c r="D27" s="38" t="str">
        <f>IF(ISBLANK(Discharged!E27),"",Discharged!E27)</f>
        <v/>
      </c>
      <c r="E27" s="38" t="str">
        <f>IF(ISBLANK(Discharged!F27),"",Discharged!F27)</f>
        <v/>
      </c>
      <c r="F27" s="39" t="str">
        <f>IF(ISBLANK(Discharged!H27),"",Discharged!H27)</f>
        <v/>
      </c>
      <c r="G27" s="38" t="str">
        <f>IF(ISBLANK(Discharged!K27),"",Discharged!K27)</f>
        <v/>
      </c>
      <c r="H27" s="38" t="str">
        <f>IF(ISBLANK(Discharged!M27),"",Discharged!M27)</f>
        <v/>
      </c>
      <c r="I27" s="35" t="str">
        <f t="shared" si="1"/>
        <v/>
      </c>
    </row>
    <row r="28" spans="1:9" ht="143.25" customHeight="1">
      <c r="A28" s="35" t="str">
        <f t="shared" si="0"/>
        <v/>
      </c>
      <c r="B28" s="38" t="str">
        <f>IF(ISBLANK(Discharged!B28),"",Discharged!B28)</f>
        <v/>
      </c>
      <c r="C28" s="39" t="str">
        <f>IF(ISBLANK(Discharged!C28),"",CONCATENATE(Discharged!C28,", ",Discharged!D28))</f>
        <v/>
      </c>
      <c r="D28" s="38" t="str">
        <f>IF(ISBLANK(Discharged!E28),"",Discharged!E28)</f>
        <v/>
      </c>
      <c r="E28" s="38" t="str">
        <f>IF(ISBLANK(Discharged!F28),"",Discharged!F28)</f>
        <v/>
      </c>
      <c r="F28" s="39" t="str">
        <f>IF(ISBLANK(Discharged!H28),"",Discharged!H28)</f>
        <v/>
      </c>
      <c r="G28" s="38" t="str">
        <f>IF(ISBLANK(Discharged!K28),"",Discharged!K28)</f>
        <v/>
      </c>
      <c r="H28" s="38" t="str">
        <f>IF(ISBLANK(Discharged!M28),"",Discharged!M28)</f>
        <v/>
      </c>
      <c r="I28" s="35" t="str">
        <f t="shared" si="1"/>
        <v/>
      </c>
    </row>
    <row r="29" spans="1:9" ht="143.25" customHeight="1">
      <c r="A29" s="35" t="str">
        <f t="shared" si="0"/>
        <v/>
      </c>
      <c r="B29" s="38" t="str">
        <f>IF(ISBLANK(Discharged!B29),"",Discharged!B29)</f>
        <v/>
      </c>
      <c r="C29" s="39" t="str">
        <f>IF(ISBLANK(Discharged!C29),"",CONCATENATE(Discharged!C29,", ",Discharged!D29))</f>
        <v/>
      </c>
      <c r="D29" s="38" t="str">
        <f>IF(ISBLANK(Discharged!E29),"",Discharged!E29)</f>
        <v/>
      </c>
      <c r="E29" s="38" t="str">
        <f>IF(ISBLANK(Discharged!F29),"",Discharged!F29)</f>
        <v/>
      </c>
      <c r="F29" s="39" t="str">
        <f>IF(ISBLANK(Discharged!H29),"",Discharged!H29)</f>
        <v/>
      </c>
      <c r="G29" s="38" t="str">
        <f>IF(ISBLANK(Discharged!K29),"",Discharged!K29)</f>
        <v/>
      </c>
      <c r="H29" s="38" t="str">
        <f>IF(ISBLANK(Discharged!M29),"",Discharged!M29)</f>
        <v/>
      </c>
      <c r="I29" s="35" t="str">
        <f t="shared" si="1"/>
        <v/>
      </c>
    </row>
    <row r="30" spans="1:9" ht="143.25" customHeight="1">
      <c r="A30" s="35" t="str">
        <f t="shared" si="0"/>
        <v/>
      </c>
      <c r="B30" s="38" t="str">
        <f>IF(ISBLANK(Discharged!B30),"",Discharged!B30)</f>
        <v/>
      </c>
      <c r="C30" s="39" t="str">
        <f>IF(ISBLANK(Discharged!C30),"",CONCATENATE(Discharged!C30,", ",Discharged!D30))</f>
        <v/>
      </c>
      <c r="D30" s="38" t="str">
        <f>IF(ISBLANK(Discharged!E30),"",Discharged!E30)</f>
        <v/>
      </c>
      <c r="E30" s="38" t="str">
        <f>IF(ISBLANK(Discharged!F30),"",Discharged!F30)</f>
        <v/>
      </c>
      <c r="F30" s="39" t="str">
        <f>IF(ISBLANK(Discharged!H30),"",Discharged!H30)</f>
        <v/>
      </c>
      <c r="G30" s="38" t="str">
        <f>IF(ISBLANK(Discharged!K30),"",Discharged!K30)</f>
        <v/>
      </c>
      <c r="H30" s="38" t="str">
        <f>IF(ISBLANK(Discharged!M30),"",Discharged!M30)</f>
        <v/>
      </c>
      <c r="I30" s="35" t="str">
        <f t="shared" si="1"/>
        <v/>
      </c>
    </row>
    <row r="31" spans="1:9" ht="143.25" customHeight="1">
      <c r="A31" s="35" t="str">
        <f t="shared" si="0"/>
        <v/>
      </c>
      <c r="B31" s="38" t="str">
        <f>IF(ISBLANK(Discharged!B31),"",Discharged!B31)</f>
        <v/>
      </c>
      <c r="C31" s="39" t="str">
        <f>IF(ISBLANK(Discharged!C31),"",CONCATENATE(Discharged!C31,", ",Discharged!D31))</f>
        <v/>
      </c>
      <c r="D31" s="38" t="str">
        <f>IF(ISBLANK(Discharged!E31),"",Discharged!E31)</f>
        <v/>
      </c>
      <c r="E31" s="38" t="str">
        <f>IF(ISBLANK(Discharged!F31),"",Discharged!F31)</f>
        <v/>
      </c>
      <c r="F31" s="39" t="str">
        <f>IF(ISBLANK(Discharged!H31),"",Discharged!H31)</f>
        <v/>
      </c>
      <c r="G31" s="38" t="str">
        <f>IF(ISBLANK(Discharged!K31),"",Discharged!K31)</f>
        <v/>
      </c>
      <c r="H31" s="38" t="str">
        <f>IF(ISBLANK(Discharged!M31),"",Discharged!M31)</f>
        <v/>
      </c>
      <c r="I31" s="35" t="str">
        <f t="shared" si="1"/>
        <v/>
      </c>
    </row>
    <row r="32" spans="1:9" ht="143.25" customHeight="1">
      <c r="A32" s="35" t="str">
        <f t="shared" si="0"/>
        <v/>
      </c>
      <c r="B32" s="38" t="str">
        <f>IF(ISBLANK(Discharged!B32),"",Discharged!B32)</f>
        <v/>
      </c>
      <c r="C32" s="39" t="str">
        <f>IF(ISBLANK(Discharged!C32),"",CONCATENATE(Discharged!C32,", ",Discharged!D32))</f>
        <v/>
      </c>
      <c r="D32" s="38" t="str">
        <f>IF(ISBLANK(Discharged!E32),"",Discharged!E32)</f>
        <v/>
      </c>
      <c r="E32" s="38" t="str">
        <f>IF(ISBLANK(Discharged!F32),"",Discharged!F32)</f>
        <v/>
      </c>
      <c r="F32" s="39" t="str">
        <f>IF(ISBLANK(Discharged!H32),"",Discharged!H32)</f>
        <v/>
      </c>
      <c r="G32" s="38" t="str">
        <f>IF(ISBLANK(Discharged!K32),"",Discharged!K32)</f>
        <v/>
      </c>
      <c r="H32" s="38" t="str">
        <f>IF(ISBLANK(Discharged!M32),"",Discharged!M32)</f>
        <v/>
      </c>
      <c r="I32" s="35" t="str">
        <f t="shared" si="1"/>
        <v/>
      </c>
    </row>
    <row r="33" spans="1:9" ht="143.25" customHeight="1">
      <c r="A33" s="35" t="str">
        <f t="shared" si="0"/>
        <v/>
      </c>
      <c r="B33" s="38" t="str">
        <f>IF(ISBLANK(Discharged!B33),"",Discharged!B33)</f>
        <v/>
      </c>
      <c r="C33" s="39" t="str">
        <f>IF(ISBLANK(Discharged!C33),"",CONCATENATE(Discharged!C33,", ",Discharged!D33))</f>
        <v/>
      </c>
      <c r="D33" s="38" t="str">
        <f>IF(ISBLANK(Discharged!E33),"",Discharged!E33)</f>
        <v/>
      </c>
      <c r="E33" s="38" t="str">
        <f>IF(ISBLANK(Discharged!F33),"",Discharged!F33)</f>
        <v/>
      </c>
      <c r="F33" s="39" t="str">
        <f>IF(ISBLANK(Discharged!H33),"",Discharged!H33)</f>
        <v/>
      </c>
      <c r="G33" s="38" t="str">
        <f>IF(ISBLANK(Discharged!K33),"",Discharged!K33)</f>
        <v/>
      </c>
      <c r="H33" s="38" t="str">
        <f>IF(ISBLANK(Discharged!M33),"",Discharged!M33)</f>
        <v/>
      </c>
      <c r="I33" s="35" t="str">
        <f t="shared" si="1"/>
        <v/>
      </c>
    </row>
    <row r="34" spans="1:9" ht="143.25" customHeight="1">
      <c r="A34" s="35" t="str">
        <f t="shared" si="0"/>
        <v/>
      </c>
      <c r="B34" s="38" t="str">
        <f>IF(ISBLANK(Discharged!B34),"",Discharged!B34)</f>
        <v/>
      </c>
      <c r="C34" s="39" t="str">
        <f>IF(ISBLANK(Discharged!C34),"",CONCATENATE(Discharged!C34,", ",Discharged!D34))</f>
        <v/>
      </c>
      <c r="D34" s="38" t="str">
        <f>IF(ISBLANK(Discharged!E34),"",Discharged!E34)</f>
        <v/>
      </c>
      <c r="E34" s="38" t="str">
        <f>IF(ISBLANK(Discharged!F34),"",Discharged!F34)</f>
        <v/>
      </c>
      <c r="F34" s="39" t="str">
        <f>IF(ISBLANK(Discharged!H34),"",Discharged!H34)</f>
        <v/>
      </c>
      <c r="G34" s="38" t="str">
        <f>IF(ISBLANK(Discharged!K34),"",Discharged!K34)</f>
        <v/>
      </c>
      <c r="H34" s="38" t="str">
        <f>IF(ISBLANK(Discharged!M34),"",Discharged!M34)</f>
        <v/>
      </c>
      <c r="I34" s="35" t="str">
        <f t="shared" si="1"/>
        <v/>
      </c>
    </row>
    <row r="35" spans="1:9" ht="143.25" customHeight="1">
      <c r="A35" s="35" t="str">
        <f t="shared" si="0"/>
        <v/>
      </c>
      <c r="B35" s="38" t="str">
        <f>IF(ISBLANK(Discharged!B35),"",Discharged!B35)</f>
        <v/>
      </c>
      <c r="C35" s="39" t="str">
        <f>IF(ISBLANK(Discharged!C35),"",CONCATENATE(Discharged!C35,", ",Discharged!D35))</f>
        <v/>
      </c>
      <c r="D35" s="38" t="str">
        <f>IF(ISBLANK(Discharged!E35),"",Discharged!E35)</f>
        <v/>
      </c>
      <c r="E35" s="38" t="str">
        <f>IF(ISBLANK(Discharged!F35),"",Discharged!F35)</f>
        <v/>
      </c>
      <c r="F35" s="39" t="str">
        <f>IF(ISBLANK(Discharged!H35),"",Discharged!H35)</f>
        <v/>
      </c>
      <c r="G35" s="38" t="str">
        <f>IF(ISBLANK(Discharged!K35),"",Discharged!K35)</f>
        <v/>
      </c>
      <c r="H35" s="38" t="str">
        <f>IF(ISBLANK(Discharged!M35),"",Discharged!M35)</f>
        <v/>
      </c>
      <c r="I35" s="35" t="str">
        <f t="shared" si="1"/>
        <v/>
      </c>
    </row>
    <row r="36" spans="1:9" ht="143.25" customHeight="1">
      <c r="A36" s="35" t="str">
        <f t="shared" si="0"/>
        <v/>
      </c>
      <c r="B36" s="38" t="str">
        <f>IF(ISBLANK(Discharged!B36),"",Discharged!B36)</f>
        <v/>
      </c>
      <c r="C36" s="39" t="str">
        <f>IF(ISBLANK(Discharged!C36),"",CONCATENATE(Discharged!C36,", ",Discharged!D36))</f>
        <v/>
      </c>
      <c r="D36" s="38" t="str">
        <f>IF(ISBLANK(Discharged!E36),"",Discharged!E36)</f>
        <v/>
      </c>
      <c r="E36" s="38" t="str">
        <f>IF(ISBLANK(Discharged!F36),"",Discharged!F36)</f>
        <v/>
      </c>
      <c r="F36" s="39" t="str">
        <f>IF(ISBLANK(Discharged!H36),"",Discharged!H36)</f>
        <v/>
      </c>
      <c r="G36" s="38" t="str">
        <f>IF(ISBLANK(Discharged!K36),"",Discharged!K36)</f>
        <v/>
      </c>
      <c r="H36" s="38" t="str">
        <f>IF(ISBLANK(Discharged!M36),"",Discharged!M36)</f>
        <v/>
      </c>
      <c r="I36" s="35" t="str">
        <f t="shared" si="1"/>
        <v/>
      </c>
    </row>
    <row r="37" spans="1:9" ht="143.25" customHeight="1">
      <c r="A37" s="35" t="str">
        <f t="shared" si="0"/>
        <v/>
      </c>
      <c r="B37" s="38" t="str">
        <f>IF(ISBLANK(Discharged!B37),"",Discharged!B37)</f>
        <v/>
      </c>
      <c r="C37" s="39" t="str">
        <f>IF(ISBLANK(Discharged!C37),"",CONCATENATE(Discharged!C37,", ",Discharged!D37))</f>
        <v/>
      </c>
      <c r="D37" s="38" t="str">
        <f>IF(ISBLANK(Discharged!E37),"",Discharged!E37)</f>
        <v/>
      </c>
      <c r="E37" s="38" t="str">
        <f>IF(ISBLANK(Discharged!F37),"",Discharged!F37)</f>
        <v/>
      </c>
      <c r="F37" s="39" t="str">
        <f>IF(ISBLANK(Discharged!H37),"",Discharged!H37)</f>
        <v/>
      </c>
      <c r="G37" s="38" t="str">
        <f>IF(ISBLANK(Discharged!K37),"",Discharged!K37)</f>
        <v/>
      </c>
      <c r="H37" s="38" t="str">
        <f>IF(ISBLANK(Discharged!M37),"",Discharged!M37)</f>
        <v/>
      </c>
      <c r="I37" s="35" t="str">
        <f t="shared" si="1"/>
        <v/>
      </c>
    </row>
    <row r="38" spans="1:9" ht="143.25" customHeight="1">
      <c r="A38" s="35" t="str">
        <f t="shared" si="0"/>
        <v/>
      </c>
      <c r="B38" s="38" t="str">
        <f>IF(ISBLANK(Discharged!B38),"",Discharged!B38)</f>
        <v/>
      </c>
      <c r="C38" s="39" t="str">
        <f>IF(ISBLANK(Discharged!C38),"",CONCATENATE(Discharged!C38,", ",Discharged!D38))</f>
        <v/>
      </c>
      <c r="D38" s="38" t="str">
        <f>IF(ISBLANK(Discharged!E38),"",Discharged!E38)</f>
        <v/>
      </c>
      <c r="E38" s="38" t="str">
        <f>IF(ISBLANK(Discharged!F38),"",Discharged!F38)</f>
        <v/>
      </c>
      <c r="F38" s="39" t="str">
        <f>IF(ISBLANK(Discharged!H38),"",Discharged!H38)</f>
        <v/>
      </c>
      <c r="G38" s="38" t="str">
        <f>IF(ISBLANK(Discharged!K38),"",Discharged!K38)</f>
        <v/>
      </c>
      <c r="H38" s="38" t="str">
        <f>IF(ISBLANK(Discharged!M38),"",Discharged!M38)</f>
        <v/>
      </c>
      <c r="I38" s="35" t="str">
        <f t="shared" si="1"/>
        <v/>
      </c>
    </row>
    <row r="39" spans="1:9" ht="143.25" customHeight="1">
      <c r="A39" s="35" t="str">
        <f t="shared" si="0"/>
        <v/>
      </c>
      <c r="B39" s="38" t="str">
        <f>IF(ISBLANK(Discharged!B39),"",Discharged!B39)</f>
        <v/>
      </c>
      <c r="C39" s="39" t="str">
        <f>IF(ISBLANK(Discharged!C39),"",CONCATENATE(Discharged!C39,", ",Discharged!D39))</f>
        <v/>
      </c>
      <c r="D39" s="38" t="str">
        <f>IF(ISBLANK(Discharged!E39),"",Discharged!E39)</f>
        <v/>
      </c>
      <c r="E39" s="38" t="str">
        <f>IF(ISBLANK(Discharged!F39),"",Discharged!F39)</f>
        <v/>
      </c>
      <c r="F39" s="39" t="str">
        <f>IF(ISBLANK(Discharged!H39),"",Discharged!H39)</f>
        <v/>
      </c>
      <c r="G39" s="38" t="str">
        <f>IF(ISBLANK(Discharged!K39),"",Discharged!K39)</f>
        <v/>
      </c>
      <c r="H39" s="38" t="str">
        <f>IF(ISBLANK(Discharged!M39),"",Discharged!M39)</f>
        <v/>
      </c>
      <c r="I39" s="35" t="str">
        <f t="shared" si="1"/>
        <v/>
      </c>
    </row>
    <row r="40" spans="1:9" ht="143.25" customHeight="1">
      <c r="A40" s="35" t="str">
        <f t="shared" si="0"/>
        <v/>
      </c>
      <c r="B40" s="38" t="str">
        <f>IF(ISBLANK(Discharged!B40),"",Discharged!B40)</f>
        <v/>
      </c>
      <c r="C40" s="39" t="str">
        <f>IF(ISBLANK(Discharged!C40),"",CONCATENATE(Discharged!C40,", ",Discharged!D40))</f>
        <v/>
      </c>
      <c r="D40" s="38" t="str">
        <f>IF(ISBLANK(Discharged!E40),"",Discharged!E40)</f>
        <v/>
      </c>
      <c r="E40" s="38" t="str">
        <f>IF(ISBLANK(Discharged!F40),"",Discharged!F40)</f>
        <v/>
      </c>
      <c r="F40" s="39" t="str">
        <f>IF(ISBLANK(Discharged!H40),"",Discharged!H40)</f>
        <v/>
      </c>
      <c r="G40" s="38" t="str">
        <f>IF(ISBLANK(Discharged!K40),"",Discharged!K40)</f>
        <v/>
      </c>
      <c r="H40" s="38" t="str">
        <f>IF(ISBLANK(Discharged!M40),"",Discharged!M40)</f>
        <v/>
      </c>
      <c r="I40" s="35" t="str">
        <f t="shared" si="1"/>
        <v/>
      </c>
    </row>
    <row r="41" spans="1:9" ht="143.25" customHeight="1">
      <c r="A41" s="35" t="str">
        <f t="shared" si="0"/>
        <v/>
      </c>
      <c r="B41" s="38" t="str">
        <f>IF(ISBLANK(Discharged!B41),"",Discharged!B41)</f>
        <v/>
      </c>
      <c r="C41" s="39" t="str">
        <f>IF(ISBLANK(Discharged!C41),"",CONCATENATE(Discharged!C41,", ",Discharged!D41))</f>
        <v/>
      </c>
      <c r="D41" s="38" t="str">
        <f>IF(ISBLANK(Discharged!E41),"",Discharged!E41)</f>
        <v/>
      </c>
      <c r="E41" s="38" t="str">
        <f>IF(ISBLANK(Discharged!F41),"",Discharged!F41)</f>
        <v/>
      </c>
      <c r="F41" s="39" t="str">
        <f>IF(ISBLANK(Discharged!H41),"",Discharged!H41)</f>
        <v/>
      </c>
      <c r="G41" s="38" t="str">
        <f>IF(ISBLANK(Discharged!K41),"",Discharged!K41)</f>
        <v/>
      </c>
      <c r="H41" s="38" t="str">
        <f>IF(ISBLANK(Discharged!M41),"",Discharged!M41)</f>
        <v/>
      </c>
      <c r="I41" s="35" t="str">
        <f t="shared" si="1"/>
        <v/>
      </c>
    </row>
    <row r="42" spans="1:9" ht="143.25" customHeight="1">
      <c r="A42" s="35" t="str">
        <f t="shared" si="0"/>
        <v/>
      </c>
      <c r="B42" s="38" t="str">
        <f>IF(ISBLANK(Discharged!B42),"",Discharged!B42)</f>
        <v/>
      </c>
      <c r="C42" s="39" t="str">
        <f>IF(ISBLANK(Discharged!C42),"",CONCATENATE(Discharged!C42,", ",Discharged!D42))</f>
        <v/>
      </c>
      <c r="D42" s="38" t="str">
        <f>IF(ISBLANK(Discharged!E42),"",Discharged!E42)</f>
        <v/>
      </c>
      <c r="E42" s="38" t="str">
        <f>IF(ISBLANK(Discharged!F42),"",Discharged!F42)</f>
        <v/>
      </c>
      <c r="F42" s="39" t="str">
        <f>IF(ISBLANK(Discharged!H42),"",Discharged!H42)</f>
        <v/>
      </c>
      <c r="G42" s="38" t="str">
        <f>IF(ISBLANK(Discharged!K42),"",Discharged!K42)</f>
        <v/>
      </c>
      <c r="H42" s="38" t="str">
        <f>IF(ISBLANK(Discharged!M42),"",Discharged!M42)</f>
        <v/>
      </c>
      <c r="I42" s="35" t="str">
        <f t="shared" si="1"/>
        <v/>
      </c>
    </row>
    <row r="43" spans="1:9" ht="143.25" customHeight="1">
      <c r="A43" s="35" t="str">
        <f t="shared" si="0"/>
        <v/>
      </c>
      <c r="B43" s="38" t="str">
        <f>IF(ISBLANK(Discharged!B43),"",Discharged!B43)</f>
        <v/>
      </c>
      <c r="C43" s="39" t="str">
        <f>IF(ISBLANK(Discharged!C43),"",CONCATENATE(Discharged!C43,", ",Discharged!D43))</f>
        <v/>
      </c>
      <c r="D43" s="38" t="str">
        <f>IF(ISBLANK(Discharged!E43),"",Discharged!E43)</f>
        <v/>
      </c>
      <c r="E43" s="38" t="str">
        <f>IF(ISBLANK(Discharged!F43),"",Discharged!F43)</f>
        <v/>
      </c>
      <c r="F43" s="39" t="str">
        <f>IF(ISBLANK(Discharged!H43),"",Discharged!H43)</f>
        <v/>
      </c>
      <c r="G43" s="38" t="str">
        <f>IF(ISBLANK(Discharged!K43),"",Discharged!K43)</f>
        <v/>
      </c>
      <c r="H43" s="38" t="str">
        <f>IF(ISBLANK(Discharged!M43),"",Discharged!M43)</f>
        <v/>
      </c>
      <c r="I43" s="35" t="str">
        <f t="shared" si="1"/>
        <v/>
      </c>
    </row>
    <row r="44" spans="1:9" ht="143.25" customHeight="1">
      <c r="A44" s="35" t="str">
        <f t="shared" si="0"/>
        <v/>
      </c>
      <c r="B44" s="38" t="str">
        <f>IF(ISBLANK(Discharged!B44),"",Discharged!B44)</f>
        <v/>
      </c>
      <c r="C44" s="39" t="str">
        <f>IF(ISBLANK(Discharged!C44),"",CONCATENATE(Discharged!C44,", ",Discharged!D44))</f>
        <v/>
      </c>
      <c r="D44" s="38" t="str">
        <f>IF(ISBLANK(Discharged!E44),"",Discharged!E44)</f>
        <v/>
      </c>
      <c r="E44" s="38" t="str">
        <f>IF(ISBLANK(Discharged!F44),"",Discharged!F44)</f>
        <v/>
      </c>
      <c r="F44" s="39" t="str">
        <f>IF(ISBLANK(Discharged!H44),"",Discharged!H44)</f>
        <v/>
      </c>
      <c r="G44" s="38" t="str">
        <f>IF(ISBLANK(Discharged!K44),"",Discharged!K44)</f>
        <v/>
      </c>
      <c r="H44" s="38" t="str">
        <f>IF(ISBLANK(Discharged!M44),"",Discharged!M44)</f>
        <v/>
      </c>
      <c r="I44" s="35" t="str">
        <f t="shared" si="1"/>
        <v/>
      </c>
    </row>
    <row r="45" spans="1:9" ht="143.25" customHeight="1">
      <c r="A45" s="35" t="str">
        <f t="shared" si="0"/>
        <v/>
      </c>
      <c r="B45" s="38" t="str">
        <f>IF(ISBLANK(Discharged!B45),"",Discharged!B45)</f>
        <v/>
      </c>
      <c r="C45" s="39" t="str">
        <f>IF(ISBLANK(Discharged!C45),"",CONCATENATE(Discharged!C45,", ",Discharged!D45))</f>
        <v/>
      </c>
      <c r="D45" s="38" t="str">
        <f>IF(ISBLANK(Discharged!E45),"",Discharged!E45)</f>
        <v/>
      </c>
      <c r="E45" s="38" t="str">
        <f>IF(ISBLANK(Discharged!F45),"",Discharged!F45)</f>
        <v/>
      </c>
      <c r="F45" s="39" t="str">
        <f>IF(ISBLANK(Discharged!H45),"",Discharged!H45)</f>
        <v/>
      </c>
      <c r="G45" s="38" t="str">
        <f>IF(ISBLANK(Discharged!K45),"",Discharged!K45)</f>
        <v/>
      </c>
      <c r="H45" s="38" t="str">
        <f>IF(ISBLANK(Discharged!M45),"",Discharged!M45)</f>
        <v/>
      </c>
      <c r="I45" s="35" t="str">
        <f t="shared" si="1"/>
        <v/>
      </c>
    </row>
    <row r="46" spans="1:9" ht="143.25" customHeight="1">
      <c r="A46" s="35" t="str">
        <f t="shared" si="0"/>
        <v/>
      </c>
      <c r="B46" s="38" t="str">
        <f>IF(ISBLANK(Discharged!B46),"",Discharged!B46)</f>
        <v/>
      </c>
      <c r="C46" s="39" t="str">
        <f>IF(ISBLANK(Discharged!C46),"",CONCATENATE(Discharged!C46,", ",Discharged!D46))</f>
        <v/>
      </c>
      <c r="D46" s="38" t="str">
        <f>IF(ISBLANK(Discharged!E46),"",Discharged!E46)</f>
        <v/>
      </c>
      <c r="E46" s="38" t="str">
        <f>IF(ISBLANK(Discharged!F46),"",Discharged!F46)</f>
        <v/>
      </c>
      <c r="F46" s="39" t="str">
        <f>IF(ISBLANK(Discharged!H46),"",Discharged!H46)</f>
        <v/>
      </c>
      <c r="G46" s="38" t="str">
        <f>IF(ISBLANK(Discharged!K46),"",Discharged!K46)</f>
        <v/>
      </c>
      <c r="H46" s="38" t="str">
        <f>IF(ISBLANK(Discharged!M46),"",Discharged!M46)</f>
        <v/>
      </c>
      <c r="I46" s="35" t="str">
        <f t="shared" si="1"/>
        <v/>
      </c>
    </row>
    <row r="47" spans="1:9" ht="143.25" customHeight="1">
      <c r="A47" s="35" t="str">
        <f t="shared" si="0"/>
        <v/>
      </c>
      <c r="B47" s="38" t="str">
        <f>IF(ISBLANK(Discharged!B47),"",Discharged!B47)</f>
        <v/>
      </c>
      <c r="C47" s="39" t="str">
        <f>IF(ISBLANK(Discharged!C47),"",CONCATENATE(Discharged!C47,", ",Discharged!D47))</f>
        <v/>
      </c>
      <c r="D47" s="38" t="str">
        <f>IF(ISBLANK(Discharged!E47),"",Discharged!E47)</f>
        <v/>
      </c>
      <c r="E47" s="38" t="str">
        <f>IF(ISBLANK(Discharged!F47),"",Discharged!F47)</f>
        <v/>
      </c>
      <c r="F47" s="39" t="str">
        <f>IF(ISBLANK(Discharged!H47),"",Discharged!H47)</f>
        <v/>
      </c>
      <c r="G47" s="38" t="str">
        <f>IF(ISBLANK(Discharged!K47),"",Discharged!K47)</f>
        <v/>
      </c>
      <c r="H47" s="38" t="str">
        <f>IF(ISBLANK(Discharged!M47),"",Discharged!M47)</f>
        <v/>
      </c>
      <c r="I47" s="35" t="str">
        <f t="shared" si="1"/>
        <v/>
      </c>
    </row>
    <row r="48" spans="1:9" ht="143.25" customHeight="1">
      <c r="A48" s="35" t="str">
        <f t="shared" si="0"/>
        <v/>
      </c>
      <c r="B48" s="38" t="str">
        <f>IF(ISBLANK(Discharged!B48),"",Discharged!B48)</f>
        <v/>
      </c>
      <c r="C48" s="39" t="str">
        <f>IF(ISBLANK(Discharged!C48),"",CONCATENATE(Discharged!C48,", ",Discharged!D48))</f>
        <v/>
      </c>
      <c r="D48" s="38" t="str">
        <f>IF(ISBLANK(Discharged!E48),"",Discharged!E48)</f>
        <v/>
      </c>
      <c r="E48" s="38" t="str">
        <f>IF(ISBLANK(Discharged!F48),"",Discharged!F48)</f>
        <v/>
      </c>
      <c r="F48" s="39" t="str">
        <f>IF(ISBLANK(Discharged!H48),"",Discharged!H48)</f>
        <v/>
      </c>
      <c r="G48" s="38" t="str">
        <f>IF(ISBLANK(Discharged!K48),"",Discharged!K48)</f>
        <v/>
      </c>
      <c r="H48" s="38" t="str">
        <f>IF(ISBLANK(Discharged!M48),"",Discharged!M48)</f>
        <v/>
      </c>
      <c r="I48" s="35" t="str">
        <f t="shared" si="1"/>
        <v/>
      </c>
    </row>
    <row r="49" spans="1:9" ht="143.25" customHeight="1">
      <c r="A49" s="35" t="str">
        <f t="shared" si="0"/>
        <v/>
      </c>
      <c r="B49" s="38" t="str">
        <f>IF(ISBLANK(Discharged!B49),"",Discharged!B49)</f>
        <v/>
      </c>
      <c r="C49" s="39" t="str">
        <f>IF(ISBLANK(Discharged!C49),"",CONCATENATE(Discharged!C49,", ",Discharged!D49))</f>
        <v/>
      </c>
      <c r="D49" s="38" t="str">
        <f>IF(ISBLANK(Discharged!E49),"",Discharged!E49)</f>
        <v/>
      </c>
      <c r="E49" s="38" t="str">
        <f>IF(ISBLANK(Discharged!F49),"",Discharged!F49)</f>
        <v/>
      </c>
      <c r="F49" s="39" t="str">
        <f>IF(ISBLANK(Discharged!H49),"",Discharged!H49)</f>
        <v/>
      </c>
      <c r="G49" s="38" t="str">
        <f>IF(ISBLANK(Discharged!K49),"",Discharged!K49)</f>
        <v/>
      </c>
      <c r="H49" s="38" t="str">
        <f>IF(ISBLANK(Discharged!M49),"",Discharged!M49)</f>
        <v/>
      </c>
      <c r="I49" s="35" t="str">
        <f t="shared" si="1"/>
        <v/>
      </c>
    </row>
    <row r="50" spans="1:9" ht="143.25" customHeight="1">
      <c r="A50" s="35" t="str">
        <f t="shared" si="0"/>
        <v/>
      </c>
      <c r="B50" s="38" t="str">
        <f>IF(ISBLANK(Discharged!B50),"",Discharged!B50)</f>
        <v/>
      </c>
      <c r="C50" s="39" t="str">
        <f>IF(ISBLANK(Discharged!C50),"",CONCATENATE(Discharged!C50,", ",Discharged!D50))</f>
        <v/>
      </c>
      <c r="D50" s="38" t="str">
        <f>IF(ISBLANK(Discharged!E50),"",Discharged!E50)</f>
        <v/>
      </c>
      <c r="E50" s="38" t="str">
        <f>IF(ISBLANK(Discharged!F50),"",Discharged!F50)</f>
        <v/>
      </c>
      <c r="F50" s="39" t="str">
        <f>IF(ISBLANK(Discharged!H50),"",Discharged!H50)</f>
        <v/>
      </c>
      <c r="G50" s="38" t="str">
        <f>IF(ISBLANK(Discharged!K50),"",Discharged!K50)</f>
        <v/>
      </c>
      <c r="H50" s="38" t="str">
        <f>IF(ISBLANK(Discharged!M50),"",Discharged!M50)</f>
        <v/>
      </c>
      <c r="I50" s="35" t="str">
        <f t="shared" si="1"/>
        <v/>
      </c>
    </row>
    <row r="51" spans="1:9" ht="143.25" customHeight="1">
      <c r="A51" s="35" t="str">
        <f t="shared" si="0"/>
        <v/>
      </c>
      <c r="B51" s="38" t="str">
        <f>IF(ISBLANK(Discharged!B51),"",Discharged!B51)</f>
        <v/>
      </c>
      <c r="C51" s="39" t="str">
        <f>IF(ISBLANK(Discharged!C51),"",CONCATENATE(Discharged!C51,", ",Discharged!D51))</f>
        <v/>
      </c>
      <c r="D51" s="38" t="str">
        <f>IF(ISBLANK(Discharged!E51),"",Discharged!E51)</f>
        <v/>
      </c>
      <c r="E51" s="38" t="str">
        <f>IF(ISBLANK(Discharged!F51),"",Discharged!F51)</f>
        <v/>
      </c>
      <c r="F51" s="39" t="str">
        <f>IF(ISBLANK(Discharged!H51),"",Discharged!H51)</f>
        <v/>
      </c>
      <c r="G51" s="38" t="str">
        <f>IF(ISBLANK(Discharged!K51),"",Discharged!K51)</f>
        <v/>
      </c>
      <c r="H51" s="38" t="str">
        <f>IF(ISBLANK(Discharged!M51),"",Discharged!M51)</f>
        <v/>
      </c>
      <c r="I51" s="35" t="str">
        <f t="shared" si="1"/>
        <v/>
      </c>
    </row>
    <row r="52" spans="1:9" ht="143.25" customHeight="1">
      <c r="A52" s="35" t="str">
        <f t="shared" si="0"/>
        <v/>
      </c>
      <c r="B52" s="38" t="str">
        <f>IF(ISBLANK(Discharged!B52),"",Discharged!B52)</f>
        <v/>
      </c>
      <c r="C52" s="39" t="str">
        <f>IF(ISBLANK(Discharged!C52),"",CONCATENATE(Discharged!C52,", ",Discharged!D52))</f>
        <v/>
      </c>
      <c r="D52" s="38" t="str">
        <f>IF(ISBLANK(Discharged!E52),"",Discharged!E52)</f>
        <v/>
      </c>
      <c r="E52" s="38" t="str">
        <f>IF(ISBLANK(Discharged!F52),"",Discharged!F52)</f>
        <v/>
      </c>
      <c r="F52" s="39" t="str">
        <f>IF(ISBLANK(Discharged!H52),"",Discharged!H52)</f>
        <v/>
      </c>
      <c r="G52" s="38" t="str">
        <f>IF(ISBLANK(Discharged!K52),"",Discharged!K52)</f>
        <v/>
      </c>
      <c r="H52" s="38" t="str">
        <f>IF(ISBLANK(Discharged!M52),"",Discharged!M52)</f>
        <v/>
      </c>
      <c r="I52" s="35" t="str">
        <f t="shared" si="1"/>
        <v/>
      </c>
    </row>
    <row r="53" spans="1:9" ht="143.25" customHeight="1">
      <c r="A53" s="35" t="str">
        <f t="shared" si="0"/>
        <v/>
      </c>
      <c r="B53" s="38" t="str">
        <f>IF(ISBLANK(Discharged!B53),"",Discharged!B53)</f>
        <v/>
      </c>
      <c r="C53" s="39" t="str">
        <f>IF(ISBLANK(Discharged!C53),"",CONCATENATE(Discharged!C53,", ",Discharged!D53))</f>
        <v/>
      </c>
      <c r="D53" s="38" t="str">
        <f>IF(ISBLANK(Discharged!E53),"",Discharged!E53)</f>
        <v/>
      </c>
      <c r="E53" s="38" t="str">
        <f>IF(ISBLANK(Discharged!F53),"",Discharged!F53)</f>
        <v/>
      </c>
      <c r="F53" s="39" t="str">
        <f>IF(ISBLANK(Discharged!H53),"",Discharged!H53)</f>
        <v/>
      </c>
      <c r="G53" s="38" t="str">
        <f>IF(ISBLANK(Discharged!K53),"",Discharged!K53)</f>
        <v/>
      </c>
      <c r="H53" s="38" t="str">
        <f>IF(ISBLANK(Discharged!M53),"",Discharged!M53)</f>
        <v/>
      </c>
      <c r="I53" s="35" t="str">
        <f t="shared" si="1"/>
        <v/>
      </c>
    </row>
    <row r="54" spans="1:9" ht="143.25" customHeight="1">
      <c r="A54" s="35" t="str">
        <f t="shared" si="0"/>
        <v/>
      </c>
      <c r="B54" s="38" t="str">
        <f>IF(ISBLANK(Discharged!B54),"",Discharged!B54)</f>
        <v/>
      </c>
      <c r="C54" s="39" t="str">
        <f>IF(ISBLANK(Discharged!C54),"",CONCATENATE(Discharged!C54,", ",Discharged!D54))</f>
        <v/>
      </c>
      <c r="D54" s="38" t="str">
        <f>IF(ISBLANK(Discharged!E54),"",Discharged!E54)</f>
        <v/>
      </c>
      <c r="E54" s="38" t="str">
        <f>IF(ISBLANK(Discharged!F54),"",Discharged!F54)</f>
        <v/>
      </c>
      <c r="F54" s="39" t="str">
        <f>IF(ISBLANK(Discharged!H54),"",Discharged!H54)</f>
        <v/>
      </c>
      <c r="G54" s="38" t="str">
        <f>IF(ISBLANK(Discharged!K54),"",Discharged!K54)</f>
        <v/>
      </c>
      <c r="H54" s="38" t="str">
        <f>IF(ISBLANK(Discharged!M54),"",Discharged!M54)</f>
        <v/>
      </c>
      <c r="I54" s="35" t="str">
        <f t="shared" si="1"/>
        <v/>
      </c>
    </row>
    <row r="55" spans="1:9" ht="143.25" customHeight="1">
      <c r="A55" s="35" t="str">
        <f t="shared" si="0"/>
        <v/>
      </c>
      <c r="B55" s="38" t="str">
        <f>IF(ISBLANK(Discharged!B55),"",Discharged!B55)</f>
        <v/>
      </c>
      <c r="C55" s="39" t="str">
        <f>IF(ISBLANK(Discharged!C55),"",CONCATENATE(Discharged!C55,", ",Discharged!D55))</f>
        <v/>
      </c>
      <c r="D55" s="38" t="str">
        <f>IF(ISBLANK(Discharged!E55),"",Discharged!E55)</f>
        <v/>
      </c>
      <c r="E55" s="38" t="str">
        <f>IF(ISBLANK(Discharged!F55),"",Discharged!F55)</f>
        <v/>
      </c>
      <c r="F55" s="39" t="str">
        <f>IF(ISBLANK(Discharged!H55),"",Discharged!H55)</f>
        <v/>
      </c>
      <c r="G55" s="38" t="str">
        <f>IF(ISBLANK(Discharged!K55),"",Discharged!K55)</f>
        <v/>
      </c>
      <c r="H55" s="38" t="str">
        <f>IF(ISBLANK(Discharged!M55),"",Discharged!M55)</f>
        <v/>
      </c>
      <c r="I55" s="35" t="str">
        <f t="shared" si="1"/>
        <v/>
      </c>
    </row>
    <row r="56" spans="1:9" ht="143.25" customHeight="1">
      <c r="A56" s="35" t="str">
        <f t="shared" si="0"/>
        <v/>
      </c>
      <c r="B56" s="38" t="str">
        <f>IF(ISBLANK(Discharged!B56),"",Discharged!B56)</f>
        <v/>
      </c>
      <c r="C56" s="39" t="str">
        <f>IF(ISBLANK(Discharged!C56),"",CONCATENATE(Discharged!C56,", ",Discharged!D56))</f>
        <v/>
      </c>
      <c r="D56" s="38" t="str">
        <f>IF(ISBLANK(Discharged!E56),"",Discharged!E56)</f>
        <v/>
      </c>
      <c r="E56" s="38" t="str">
        <f>IF(ISBLANK(Discharged!F56),"",Discharged!F56)</f>
        <v/>
      </c>
      <c r="F56" s="39" t="str">
        <f>IF(ISBLANK(Discharged!H56),"",Discharged!H56)</f>
        <v/>
      </c>
      <c r="G56" s="38" t="str">
        <f>IF(ISBLANK(Discharged!K56),"",Discharged!K56)</f>
        <v/>
      </c>
      <c r="H56" s="38" t="str">
        <f>IF(ISBLANK(Discharged!M56),"",Discharged!M56)</f>
        <v/>
      </c>
      <c r="I56" s="35" t="str">
        <f t="shared" si="1"/>
        <v/>
      </c>
    </row>
    <row r="57" spans="1:9" ht="143.25" customHeight="1">
      <c r="A57" s="35" t="str">
        <f t="shared" si="0"/>
        <v/>
      </c>
      <c r="B57" s="38" t="str">
        <f>IF(ISBLANK(Discharged!B57),"",Discharged!B57)</f>
        <v/>
      </c>
      <c r="C57" s="39" t="str">
        <f>IF(ISBLANK(Discharged!C57),"",CONCATENATE(Discharged!C57,", ",Discharged!D57))</f>
        <v/>
      </c>
      <c r="D57" s="38" t="str">
        <f>IF(ISBLANK(Discharged!E57),"",Discharged!E57)</f>
        <v/>
      </c>
      <c r="E57" s="38" t="str">
        <f>IF(ISBLANK(Discharged!F57),"",Discharged!F57)</f>
        <v/>
      </c>
      <c r="F57" s="39" t="str">
        <f>IF(ISBLANK(Discharged!H57),"",Discharged!H57)</f>
        <v/>
      </c>
      <c r="G57" s="38" t="str">
        <f>IF(ISBLANK(Discharged!K57),"",Discharged!K57)</f>
        <v/>
      </c>
      <c r="H57" s="38" t="str">
        <f>IF(ISBLANK(Discharged!M57),"",Discharged!M57)</f>
        <v/>
      </c>
      <c r="I57" s="35" t="str">
        <f t="shared" si="1"/>
        <v/>
      </c>
    </row>
    <row r="58" spans="1:9" ht="143.25" customHeight="1">
      <c r="A58" s="35" t="str">
        <f t="shared" si="0"/>
        <v/>
      </c>
      <c r="B58" s="38" t="str">
        <f>IF(ISBLANK(Discharged!B58),"",Discharged!B58)</f>
        <v/>
      </c>
      <c r="C58" s="39" t="str">
        <f>IF(ISBLANK(Discharged!C58),"",CONCATENATE(Discharged!C58,", ",Discharged!D58))</f>
        <v/>
      </c>
      <c r="D58" s="38" t="str">
        <f>IF(ISBLANK(Discharged!E58),"",Discharged!E58)</f>
        <v/>
      </c>
      <c r="E58" s="38" t="str">
        <f>IF(ISBLANK(Discharged!F58),"",Discharged!F58)</f>
        <v/>
      </c>
      <c r="F58" s="39" t="str">
        <f>IF(ISBLANK(Discharged!H58),"",Discharged!H58)</f>
        <v/>
      </c>
      <c r="G58" s="38" t="str">
        <f>IF(ISBLANK(Discharged!K58),"",Discharged!K58)</f>
        <v/>
      </c>
      <c r="H58" s="38" t="str">
        <f>IF(ISBLANK(Discharged!M58),"",Discharged!M58)</f>
        <v/>
      </c>
      <c r="I58" s="35" t="str">
        <f t="shared" si="1"/>
        <v/>
      </c>
    </row>
    <row r="59" spans="1:9" ht="143.25" customHeight="1">
      <c r="A59" s="35" t="str">
        <f t="shared" si="0"/>
        <v/>
      </c>
      <c r="B59" s="38" t="str">
        <f>IF(ISBLANK(Discharged!B59),"",Discharged!B59)</f>
        <v/>
      </c>
      <c r="C59" s="39" t="str">
        <f>IF(ISBLANK(Discharged!C59),"",CONCATENATE(Discharged!C59,", ",Discharged!D59))</f>
        <v/>
      </c>
      <c r="D59" s="38" t="str">
        <f>IF(ISBLANK(Discharged!E59),"",Discharged!E59)</f>
        <v/>
      </c>
      <c r="E59" s="38" t="str">
        <f>IF(ISBLANK(Discharged!F59),"",Discharged!F59)</f>
        <v/>
      </c>
      <c r="F59" s="39" t="str">
        <f>IF(ISBLANK(Discharged!H59),"",Discharged!H59)</f>
        <v/>
      </c>
      <c r="G59" s="38" t="str">
        <f>IF(ISBLANK(Discharged!K59),"",Discharged!K59)</f>
        <v/>
      </c>
      <c r="H59" s="38" t="str">
        <f>IF(ISBLANK(Discharged!M59),"",Discharged!M59)</f>
        <v/>
      </c>
      <c r="I59" s="35" t="str">
        <f t="shared" si="1"/>
        <v/>
      </c>
    </row>
    <row r="60" spans="1:9" ht="143.25" customHeight="1">
      <c r="A60" s="35" t="str">
        <f t="shared" si="0"/>
        <v/>
      </c>
      <c r="B60" s="38" t="str">
        <f>IF(ISBLANK(Discharged!B60),"",Discharged!B60)</f>
        <v/>
      </c>
      <c r="C60" s="39" t="str">
        <f>IF(ISBLANK(Discharged!C60),"",CONCATENATE(Discharged!C60,", ",Discharged!D60))</f>
        <v/>
      </c>
      <c r="D60" s="38" t="str">
        <f>IF(ISBLANK(Discharged!E60),"",Discharged!E60)</f>
        <v/>
      </c>
      <c r="E60" s="38" t="str">
        <f>IF(ISBLANK(Discharged!F60),"",Discharged!F60)</f>
        <v/>
      </c>
      <c r="F60" s="39" t="str">
        <f>IF(ISBLANK(Discharged!H60),"",Discharged!H60)</f>
        <v/>
      </c>
      <c r="G60" s="38" t="str">
        <f>IF(ISBLANK(Discharged!K60),"",Discharged!K60)</f>
        <v/>
      </c>
      <c r="H60" s="38" t="str">
        <f>IF(ISBLANK(Discharged!M60),"",Discharged!M60)</f>
        <v/>
      </c>
      <c r="I60" s="35" t="str">
        <f t="shared" si="1"/>
        <v/>
      </c>
    </row>
    <row r="61" spans="1:9" ht="143.25" customHeight="1">
      <c r="A61" s="35" t="str">
        <f t="shared" si="0"/>
        <v/>
      </c>
      <c r="B61" s="38" t="str">
        <f>IF(ISBLANK(Discharged!B61),"",Discharged!B61)</f>
        <v/>
      </c>
      <c r="C61" s="39" t="str">
        <f>IF(ISBLANK(Discharged!C61),"",CONCATENATE(Discharged!C61,", ",Discharged!D61))</f>
        <v/>
      </c>
      <c r="D61" s="38" t="str">
        <f>IF(ISBLANK(Discharged!E61),"",Discharged!E61)</f>
        <v/>
      </c>
      <c r="E61" s="38" t="str">
        <f>IF(ISBLANK(Discharged!F61),"",Discharged!F61)</f>
        <v/>
      </c>
      <c r="F61" s="39" t="str">
        <f>IF(ISBLANK(Discharged!H61),"",Discharged!H61)</f>
        <v/>
      </c>
      <c r="G61" s="38" t="str">
        <f>IF(ISBLANK(Discharged!K61),"",Discharged!K61)</f>
        <v/>
      </c>
      <c r="H61" s="38" t="str">
        <f>IF(ISBLANK(Discharged!M61),"",Discharged!M61)</f>
        <v/>
      </c>
      <c r="I61" s="35" t="str">
        <f t="shared" si="1"/>
        <v/>
      </c>
    </row>
    <row r="62" spans="1:9" ht="143.25" customHeight="1">
      <c r="A62" s="35" t="str">
        <f t="shared" si="0"/>
        <v/>
      </c>
      <c r="B62" s="38" t="str">
        <f>IF(ISBLANK(Discharged!B62),"",Discharged!B62)</f>
        <v/>
      </c>
      <c r="C62" s="39" t="str">
        <f>IF(ISBLANK(Discharged!C62),"",CONCATENATE(Discharged!C62,", ",Discharged!D62))</f>
        <v/>
      </c>
      <c r="D62" s="38" t="str">
        <f>IF(ISBLANK(Discharged!E62),"",Discharged!E62)</f>
        <v/>
      </c>
      <c r="E62" s="38" t="str">
        <f>IF(ISBLANK(Discharged!F62),"",Discharged!F62)</f>
        <v/>
      </c>
      <c r="F62" s="39" t="str">
        <f>IF(ISBLANK(Discharged!H62),"",Discharged!H62)</f>
        <v/>
      </c>
      <c r="G62" s="38" t="str">
        <f>IF(ISBLANK(Discharged!K62),"",Discharged!K62)</f>
        <v/>
      </c>
      <c r="H62" s="38" t="str">
        <f>IF(ISBLANK(Discharged!M62),"",Discharged!M62)</f>
        <v/>
      </c>
      <c r="I62" s="35" t="str">
        <f t="shared" si="1"/>
        <v/>
      </c>
    </row>
    <row r="63" spans="1:9" ht="143.25" customHeight="1">
      <c r="A63" s="35" t="str">
        <f t="shared" si="0"/>
        <v/>
      </c>
      <c r="B63" s="38" t="str">
        <f>IF(ISBLANK(Discharged!B63),"",Discharged!B63)</f>
        <v/>
      </c>
      <c r="C63" s="39" t="str">
        <f>IF(ISBLANK(Discharged!C63),"",CONCATENATE(Discharged!C63,", ",Discharged!D63))</f>
        <v/>
      </c>
      <c r="D63" s="38" t="str">
        <f>IF(ISBLANK(Discharged!E63),"",Discharged!E63)</f>
        <v/>
      </c>
      <c r="E63" s="38" t="str">
        <f>IF(ISBLANK(Discharged!F63),"",Discharged!F63)</f>
        <v/>
      </c>
      <c r="F63" s="39" t="str">
        <f>IF(ISBLANK(Discharged!H63),"",Discharged!H63)</f>
        <v/>
      </c>
      <c r="G63" s="38" t="str">
        <f>IF(ISBLANK(Discharged!K63),"",Discharged!K63)</f>
        <v/>
      </c>
      <c r="H63" s="38" t="str">
        <f>IF(ISBLANK(Discharged!M63),"",Discharged!M63)</f>
        <v/>
      </c>
      <c r="I63" s="35" t="str">
        <f t="shared" si="1"/>
        <v/>
      </c>
    </row>
    <row r="64" spans="1:9" ht="143.25" customHeight="1">
      <c r="A64" s="35" t="str">
        <f t="shared" si="0"/>
        <v/>
      </c>
      <c r="B64" s="38" t="str">
        <f>IF(ISBLANK(Discharged!B64),"",Discharged!B64)</f>
        <v/>
      </c>
      <c r="C64" s="39" t="str">
        <f>IF(ISBLANK(Discharged!C64),"",CONCATENATE(Discharged!C64,", ",Discharged!D64))</f>
        <v/>
      </c>
      <c r="D64" s="38" t="str">
        <f>IF(ISBLANK(Discharged!E64),"",Discharged!E64)</f>
        <v/>
      </c>
      <c r="E64" s="38" t="str">
        <f>IF(ISBLANK(Discharged!F64),"",Discharged!F64)</f>
        <v/>
      </c>
      <c r="F64" s="39" t="str">
        <f>IF(ISBLANK(Discharged!H64),"",Discharged!H64)</f>
        <v/>
      </c>
      <c r="G64" s="38" t="str">
        <f>IF(ISBLANK(Discharged!K64),"",Discharged!K64)</f>
        <v/>
      </c>
      <c r="H64" s="38" t="str">
        <f>IF(ISBLANK(Discharged!M64),"",Discharged!M64)</f>
        <v/>
      </c>
      <c r="I64" s="35" t="str">
        <f t="shared" si="1"/>
        <v/>
      </c>
    </row>
    <row r="65" spans="1:9" ht="143.25" customHeight="1">
      <c r="A65" s="35" t="str">
        <f t="shared" si="0"/>
        <v/>
      </c>
      <c r="B65" s="38" t="str">
        <f>IF(ISBLANK(Discharged!B65),"",Discharged!B65)</f>
        <v/>
      </c>
      <c r="C65" s="39" t="str">
        <f>IF(ISBLANK(Discharged!C65),"",CONCATENATE(Discharged!C65,", ",Discharged!D65))</f>
        <v/>
      </c>
      <c r="D65" s="38" t="str">
        <f>IF(ISBLANK(Discharged!E65),"",Discharged!E65)</f>
        <v/>
      </c>
      <c r="E65" s="38" t="str">
        <f>IF(ISBLANK(Discharged!F65),"",Discharged!F65)</f>
        <v/>
      </c>
      <c r="F65" s="39" t="str">
        <f>IF(ISBLANK(Discharged!H65),"",Discharged!H65)</f>
        <v/>
      </c>
      <c r="G65" s="38" t="str">
        <f>IF(ISBLANK(Discharged!K65),"",Discharged!K65)</f>
        <v/>
      </c>
      <c r="H65" s="38" t="str">
        <f>IF(ISBLANK(Discharged!M65),"",Discharged!M65)</f>
        <v/>
      </c>
      <c r="I65" s="35" t="str">
        <f t="shared" si="1"/>
        <v/>
      </c>
    </row>
    <row r="66" spans="1:9" ht="143.25" customHeight="1">
      <c r="A66" s="35" t="str">
        <f t="shared" ref="A66:A129" si="2">IF(B66="","",CONCATENATE("*",B66,"*"))</f>
        <v/>
      </c>
      <c r="B66" s="38" t="str">
        <f>IF(ISBLANK(Discharged!B66),"",Discharged!B66)</f>
        <v/>
      </c>
      <c r="C66" s="39" t="str">
        <f>IF(ISBLANK(Discharged!C66),"",CONCATENATE(Discharged!C66,", ",Discharged!D66))</f>
        <v/>
      </c>
      <c r="D66" s="38" t="str">
        <f>IF(ISBLANK(Discharged!E66),"",Discharged!E66)</f>
        <v/>
      </c>
      <c r="E66" s="38" t="str">
        <f>IF(ISBLANK(Discharged!F66),"",Discharged!F66)</f>
        <v/>
      </c>
      <c r="F66" s="39" t="str">
        <f>IF(ISBLANK(Discharged!H66),"",Discharged!H66)</f>
        <v/>
      </c>
      <c r="G66" s="38" t="str">
        <f>IF(ISBLANK(Discharged!K66),"",Discharged!K66)</f>
        <v/>
      </c>
      <c r="H66" s="38" t="str">
        <f>IF(ISBLANK(Discharged!M66),"",Discharged!M66)</f>
        <v/>
      </c>
      <c r="I66" s="35" t="str">
        <f t="shared" ref="I66:I129" si="3">IF(D66="","",CONCATENATE("*",D66,"*"))</f>
        <v/>
      </c>
    </row>
    <row r="67" spans="1:9" ht="143.25" customHeight="1">
      <c r="A67" s="35" t="str">
        <f t="shared" si="2"/>
        <v/>
      </c>
      <c r="B67" s="38" t="str">
        <f>IF(ISBLANK(Discharged!B67),"",Discharged!B67)</f>
        <v/>
      </c>
      <c r="C67" s="39" t="str">
        <f>IF(ISBLANK(Discharged!C67),"",CONCATENATE(Discharged!C67,", ",Discharged!D67))</f>
        <v/>
      </c>
      <c r="D67" s="38" t="str">
        <f>IF(ISBLANK(Discharged!E67),"",Discharged!E67)</f>
        <v/>
      </c>
      <c r="E67" s="38" t="str">
        <f>IF(ISBLANK(Discharged!F67),"",Discharged!F67)</f>
        <v/>
      </c>
      <c r="F67" s="39" t="str">
        <f>IF(ISBLANK(Discharged!H67),"",Discharged!H67)</f>
        <v/>
      </c>
      <c r="G67" s="38" t="str">
        <f>IF(ISBLANK(Discharged!K67),"",Discharged!K67)</f>
        <v/>
      </c>
      <c r="H67" s="38" t="str">
        <f>IF(ISBLANK(Discharged!M67),"",Discharged!M67)</f>
        <v/>
      </c>
      <c r="I67" s="35" t="str">
        <f t="shared" si="3"/>
        <v/>
      </c>
    </row>
    <row r="68" spans="1:9" ht="143.25" customHeight="1">
      <c r="A68" s="35" t="str">
        <f t="shared" si="2"/>
        <v/>
      </c>
      <c r="B68" s="38" t="str">
        <f>IF(ISBLANK(Discharged!B68),"",Discharged!B68)</f>
        <v/>
      </c>
      <c r="C68" s="39" t="str">
        <f>IF(ISBLANK(Discharged!C68),"",CONCATENATE(Discharged!C68,", ",Discharged!D68))</f>
        <v/>
      </c>
      <c r="D68" s="38" t="str">
        <f>IF(ISBLANK(Discharged!E68),"",Discharged!E68)</f>
        <v/>
      </c>
      <c r="E68" s="38" t="str">
        <f>IF(ISBLANK(Discharged!F68),"",Discharged!F68)</f>
        <v/>
      </c>
      <c r="F68" s="39" t="str">
        <f>IF(ISBLANK(Discharged!H68),"",Discharged!H68)</f>
        <v/>
      </c>
      <c r="G68" s="38" t="str">
        <f>IF(ISBLANK(Discharged!K68),"",Discharged!K68)</f>
        <v/>
      </c>
      <c r="H68" s="38" t="str">
        <f>IF(ISBLANK(Discharged!M68),"",Discharged!M68)</f>
        <v/>
      </c>
      <c r="I68" s="35" t="str">
        <f t="shared" si="3"/>
        <v/>
      </c>
    </row>
    <row r="69" spans="1:9" ht="143.25" customHeight="1">
      <c r="A69" s="35" t="str">
        <f t="shared" si="2"/>
        <v/>
      </c>
      <c r="B69" s="38" t="str">
        <f>IF(ISBLANK(Discharged!B69),"",Discharged!B69)</f>
        <v/>
      </c>
      <c r="C69" s="39" t="str">
        <f>IF(ISBLANK(Discharged!C69),"",CONCATENATE(Discharged!C69,", ",Discharged!D69))</f>
        <v/>
      </c>
      <c r="D69" s="38" t="str">
        <f>IF(ISBLANK(Discharged!E69),"",Discharged!E69)</f>
        <v/>
      </c>
      <c r="E69" s="38" t="str">
        <f>IF(ISBLANK(Discharged!F69),"",Discharged!F69)</f>
        <v/>
      </c>
      <c r="F69" s="39" t="str">
        <f>IF(ISBLANK(Discharged!H69),"",Discharged!H69)</f>
        <v/>
      </c>
      <c r="G69" s="38" t="str">
        <f>IF(ISBLANK(Discharged!K69),"",Discharged!K69)</f>
        <v/>
      </c>
      <c r="H69" s="38" t="str">
        <f>IF(ISBLANK(Discharged!M69),"",Discharged!M69)</f>
        <v/>
      </c>
      <c r="I69" s="35" t="str">
        <f t="shared" si="3"/>
        <v/>
      </c>
    </row>
    <row r="70" spans="1:9" ht="143.25" customHeight="1">
      <c r="A70" s="35" t="str">
        <f t="shared" si="2"/>
        <v/>
      </c>
      <c r="B70" s="38" t="str">
        <f>IF(ISBLANK(Discharged!B70),"",Discharged!B70)</f>
        <v/>
      </c>
      <c r="C70" s="39" t="str">
        <f>IF(ISBLANK(Discharged!C70),"",CONCATENATE(Discharged!C70,", ",Discharged!D70))</f>
        <v/>
      </c>
      <c r="D70" s="38" t="str">
        <f>IF(ISBLANK(Discharged!E70),"",Discharged!E70)</f>
        <v/>
      </c>
      <c r="E70" s="38" t="str">
        <f>IF(ISBLANK(Discharged!F70),"",Discharged!F70)</f>
        <v/>
      </c>
      <c r="F70" s="39" t="str">
        <f>IF(ISBLANK(Discharged!H70),"",Discharged!H70)</f>
        <v/>
      </c>
      <c r="G70" s="38" t="str">
        <f>IF(ISBLANK(Discharged!K70),"",Discharged!K70)</f>
        <v/>
      </c>
      <c r="H70" s="38" t="str">
        <f>IF(ISBLANK(Discharged!M70),"",Discharged!M70)</f>
        <v/>
      </c>
      <c r="I70" s="35" t="str">
        <f t="shared" si="3"/>
        <v/>
      </c>
    </row>
    <row r="71" spans="1:9" ht="143.25" customHeight="1">
      <c r="A71" s="35" t="str">
        <f t="shared" si="2"/>
        <v/>
      </c>
      <c r="B71" s="38" t="str">
        <f>IF(ISBLANK(Discharged!B71),"",Discharged!B71)</f>
        <v/>
      </c>
      <c r="C71" s="39" t="str">
        <f>IF(ISBLANK(Discharged!C71),"",CONCATENATE(Discharged!C71,", ",Discharged!D71))</f>
        <v/>
      </c>
      <c r="D71" s="38" t="str">
        <f>IF(ISBLANK(Discharged!E71),"",Discharged!E71)</f>
        <v/>
      </c>
      <c r="E71" s="38" t="str">
        <f>IF(ISBLANK(Discharged!F71),"",Discharged!F71)</f>
        <v/>
      </c>
      <c r="F71" s="39" t="str">
        <f>IF(ISBLANK(Discharged!H71),"",Discharged!H71)</f>
        <v/>
      </c>
      <c r="G71" s="38" t="str">
        <f>IF(ISBLANK(Discharged!K71),"",Discharged!K71)</f>
        <v/>
      </c>
      <c r="H71" s="38" t="str">
        <f>IF(ISBLANK(Discharged!M71),"",Discharged!M71)</f>
        <v/>
      </c>
      <c r="I71" s="35" t="str">
        <f t="shared" si="3"/>
        <v/>
      </c>
    </row>
    <row r="72" spans="1:9" ht="143.25" customHeight="1">
      <c r="A72" s="35" t="str">
        <f t="shared" si="2"/>
        <v/>
      </c>
      <c r="B72" s="38" t="str">
        <f>IF(ISBLANK(Discharged!B72),"",Discharged!B72)</f>
        <v/>
      </c>
      <c r="C72" s="39" t="str">
        <f>IF(ISBLANK(Discharged!C72),"",CONCATENATE(Discharged!C72,", ",Discharged!D72))</f>
        <v/>
      </c>
      <c r="D72" s="38" t="str">
        <f>IF(ISBLANK(Discharged!E72),"",Discharged!E72)</f>
        <v/>
      </c>
      <c r="E72" s="38" t="str">
        <f>IF(ISBLANK(Discharged!F72),"",Discharged!F72)</f>
        <v/>
      </c>
      <c r="F72" s="39" t="str">
        <f>IF(ISBLANK(Discharged!H72),"",Discharged!H72)</f>
        <v/>
      </c>
      <c r="G72" s="38" t="str">
        <f>IF(ISBLANK(Discharged!K72),"",Discharged!K72)</f>
        <v/>
      </c>
      <c r="H72" s="38" t="str">
        <f>IF(ISBLANK(Discharged!M72),"",Discharged!M72)</f>
        <v/>
      </c>
      <c r="I72" s="35" t="str">
        <f t="shared" si="3"/>
        <v/>
      </c>
    </row>
    <row r="73" spans="1:9" ht="143.25" customHeight="1">
      <c r="A73" s="35" t="str">
        <f t="shared" si="2"/>
        <v/>
      </c>
      <c r="B73" s="38" t="str">
        <f>IF(ISBLANK(Discharged!B73),"",Discharged!B73)</f>
        <v/>
      </c>
      <c r="C73" s="39" t="str">
        <f>IF(ISBLANK(Discharged!C73),"",CONCATENATE(Discharged!C73,", ",Discharged!D73))</f>
        <v/>
      </c>
      <c r="D73" s="38" t="str">
        <f>IF(ISBLANK(Discharged!E73),"",Discharged!E73)</f>
        <v/>
      </c>
      <c r="E73" s="38" t="str">
        <f>IF(ISBLANK(Discharged!F73),"",Discharged!F73)</f>
        <v/>
      </c>
      <c r="F73" s="39" t="str">
        <f>IF(ISBLANK(Discharged!H73),"",Discharged!H73)</f>
        <v/>
      </c>
      <c r="G73" s="38" t="str">
        <f>IF(ISBLANK(Discharged!K73),"",Discharged!K73)</f>
        <v/>
      </c>
      <c r="H73" s="38" t="str">
        <f>IF(ISBLANK(Discharged!M73),"",Discharged!M73)</f>
        <v/>
      </c>
      <c r="I73" s="35" t="str">
        <f t="shared" si="3"/>
        <v/>
      </c>
    </row>
    <row r="74" spans="1:9" ht="143.25" customHeight="1">
      <c r="A74" s="35" t="str">
        <f t="shared" si="2"/>
        <v/>
      </c>
      <c r="B74" s="38" t="str">
        <f>IF(ISBLANK(Discharged!B74),"",Discharged!B74)</f>
        <v/>
      </c>
      <c r="C74" s="39" t="str">
        <f>IF(ISBLANK(Discharged!C74),"",CONCATENATE(Discharged!C74,", ",Discharged!D74))</f>
        <v/>
      </c>
      <c r="D74" s="38" t="str">
        <f>IF(ISBLANK(Discharged!E74),"",Discharged!E74)</f>
        <v/>
      </c>
      <c r="E74" s="38" t="str">
        <f>IF(ISBLANK(Discharged!F74),"",Discharged!F74)</f>
        <v/>
      </c>
      <c r="F74" s="39" t="str">
        <f>IF(ISBLANK(Discharged!H74),"",Discharged!H74)</f>
        <v/>
      </c>
      <c r="G74" s="38" t="str">
        <f>IF(ISBLANK(Discharged!K74),"",Discharged!K74)</f>
        <v/>
      </c>
      <c r="H74" s="38" t="str">
        <f>IF(ISBLANK(Discharged!M74),"",Discharged!M74)</f>
        <v/>
      </c>
      <c r="I74" s="35" t="str">
        <f t="shared" si="3"/>
        <v/>
      </c>
    </row>
    <row r="75" spans="1:9" ht="143.25" customHeight="1">
      <c r="A75" s="35" t="str">
        <f t="shared" si="2"/>
        <v/>
      </c>
      <c r="B75" s="38" t="str">
        <f>IF(ISBLANK(Discharged!B75),"",Discharged!B75)</f>
        <v/>
      </c>
      <c r="C75" s="39" t="str">
        <f>IF(ISBLANK(Discharged!C75),"",CONCATENATE(Discharged!C75,", ",Discharged!D75))</f>
        <v/>
      </c>
      <c r="D75" s="38" t="str">
        <f>IF(ISBLANK(Discharged!E75),"",Discharged!E75)</f>
        <v/>
      </c>
      <c r="E75" s="38" t="str">
        <f>IF(ISBLANK(Discharged!F75),"",Discharged!F75)</f>
        <v/>
      </c>
      <c r="F75" s="39" t="str">
        <f>IF(ISBLANK(Discharged!H75),"",Discharged!H75)</f>
        <v/>
      </c>
      <c r="G75" s="38" t="str">
        <f>IF(ISBLANK(Discharged!K75),"",Discharged!K75)</f>
        <v/>
      </c>
      <c r="H75" s="38" t="str">
        <f>IF(ISBLANK(Discharged!M75),"",Discharged!M75)</f>
        <v/>
      </c>
      <c r="I75" s="35" t="str">
        <f t="shared" si="3"/>
        <v/>
      </c>
    </row>
    <row r="76" spans="1:9" ht="143.25" customHeight="1">
      <c r="A76" s="35" t="str">
        <f t="shared" si="2"/>
        <v/>
      </c>
      <c r="B76" s="38" t="str">
        <f>IF(ISBLANK(Discharged!B76),"",Discharged!B76)</f>
        <v/>
      </c>
      <c r="C76" s="39" t="str">
        <f>IF(ISBLANK(Discharged!C76),"",CONCATENATE(Discharged!C76,", ",Discharged!D76))</f>
        <v/>
      </c>
      <c r="D76" s="38" t="str">
        <f>IF(ISBLANK(Discharged!E76),"",Discharged!E76)</f>
        <v/>
      </c>
      <c r="E76" s="38" t="str">
        <f>IF(ISBLANK(Discharged!F76),"",Discharged!F76)</f>
        <v/>
      </c>
      <c r="F76" s="39" t="str">
        <f>IF(ISBLANK(Discharged!H76),"",Discharged!H76)</f>
        <v/>
      </c>
      <c r="G76" s="38" t="str">
        <f>IF(ISBLANK(Discharged!K76),"",Discharged!K76)</f>
        <v/>
      </c>
      <c r="H76" s="38" t="str">
        <f>IF(ISBLANK(Discharged!M76),"",Discharged!M76)</f>
        <v/>
      </c>
      <c r="I76" s="35" t="str">
        <f t="shared" si="3"/>
        <v/>
      </c>
    </row>
    <row r="77" spans="1:9" ht="143.25" customHeight="1">
      <c r="A77" s="35" t="str">
        <f t="shared" si="2"/>
        <v/>
      </c>
      <c r="B77" s="38" t="str">
        <f>IF(ISBLANK(Discharged!B77),"",Discharged!B77)</f>
        <v/>
      </c>
      <c r="C77" s="39" t="str">
        <f>IF(ISBLANK(Discharged!C77),"",CONCATENATE(Discharged!C77,", ",Discharged!D77))</f>
        <v/>
      </c>
      <c r="D77" s="38" t="str">
        <f>IF(ISBLANK(Discharged!E77),"",Discharged!E77)</f>
        <v/>
      </c>
      <c r="E77" s="38" t="str">
        <f>IF(ISBLANK(Discharged!F77),"",Discharged!F77)</f>
        <v/>
      </c>
      <c r="F77" s="39" t="str">
        <f>IF(ISBLANK(Discharged!H77),"",Discharged!H77)</f>
        <v/>
      </c>
      <c r="G77" s="38" t="str">
        <f>IF(ISBLANK(Discharged!K77),"",Discharged!K77)</f>
        <v/>
      </c>
      <c r="H77" s="38" t="str">
        <f>IF(ISBLANK(Discharged!M77),"",Discharged!M77)</f>
        <v/>
      </c>
      <c r="I77" s="35" t="str">
        <f t="shared" si="3"/>
        <v/>
      </c>
    </row>
    <row r="78" spans="1:9" ht="143.25" customHeight="1">
      <c r="A78" s="35" t="str">
        <f t="shared" si="2"/>
        <v/>
      </c>
      <c r="B78" s="38" t="str">
        <f>IF(ISBLANK(Discharged!B78),"",Discharged!B78)</f>
        <v/>
      </c>
      <c r="C78" s="39" t="str">
        <f>IF(ISBLANK(Discharged!C78),"",CONCATENATE(Discharged!C78,", ",Discharged!D78))</f>
        <v/>
      </c>
      <c r="D78" s="38" t="str">
        <f>IF(ISBLANK(Discharged!E78),"",Discharged!E78)</f>
        <v/>
      </c>
      <c r="E78" s="38" t="str">
        <f>IF(ISBLANK(Discharged!F78),"",Discharged!F78)</f>
        <v/>
      </c>
      <c r="F78" s="39" t="str">
        <f>IF(ISBLANK(Discharged!H78),"",Discharged!H78)</f>
        <v/>
      </c>
      <c r="G78" s="38" t="str">
        <f>IF(ISBLANK(Discharged!K78),"",Discharged!K78)</f>
        <v/>
      </c>
      <c r="H78" s="38" t="str">
        <f>IF(ISBLANK(Discharged!M78),"",Discharged!M78)</f>
        <v/>
      </c>
      <c r="I78" s="35" t="str">
        <f t="shared" si="3"/>
        <v/>
      </c>
    </row>
    <row r="79" spans="1:9" ht="143.25" customHeight="1">
      <c r="A79" s="35" t="str">
        <f t="shared" si="2"/>
        <v/>
      </c>
      <c r="B79" s="38" t="str">
        <f>IF(ISBLANK(Discharged!B79),"",Discharged!B79)</f>
        <v/>
      </c>
      <c r="C79" s="39" t="str">
        <f>IF(ISBLANK(Discharged!C79),"",CONCATENATE(Discharged!C79,", ",Discharged!D79))</f>
        <v/>
      </c>
      <c r="D79" s="38" t="str">
        <f>IF(ISBLANK(Discharged!E79),"",Discharged!E79)</f>
        <v/>
      </c>
      <c r="E79" s="38" t="str">
        <f>IF(ISBLANK(Discharged!F79),"",Discharged!F79)</f>
        <v/>
      </c>
      <c r="F79" s="39" t="str">
        <f>IF(ISBLANK(Discharged!H79),"",Discharged!H79)</f>
        <v/>
      </c>
      <c r="G79" s="38" t="str">
        <f>IF(ISBLANK(Discharged!K79),"",Discharged!K79)</f>
        <v/>
      </c>
      <c r="H79" s="38" t="str">
        <f>IF(ISBLANK(Discharged!M79),"",Discharged!M79)</f>
        <v/>
      </c>
      <c r="I79" s="35" t="str">
        <f t="shared" si="3"/>
        <v/>
      </c>
    </row>
    <row r="80" spans="1:9" ht="143.25" customHeight="1">
      <c r="A80" s="35" t="str">
        <f t="shared" si="2"/>
        <v/>
      </c>
      <c r="B80" s="38" t="str">
        <f>IF(ISBLANK(Discharged!B80),"",Discharged!B80)</f>
        <v/>
      </c>
      <c r="C80" s="39" t="str">
        <f>IF(ISBLANK(Discharged!C80),"",CONCATENATE(Discharged!C80,", ",Discharged!D80))</f>
        <v/>
      </c>
      <c r="D80" s="38" t="str">
        <f>IF(ISBLANK(Discharged!E80),"",Discharged!E80)</f>
        <v/>
      </c>
      <c r="E80" s="38" t="str">
        <f>IF(ISBLANK(Discharged!F80),"",Discharged!F80)</f>
        <v/>
      </c>
      <c r="F80" s="39" t="str">
        <f>IF(ISBLANK(Discharged!H80),"",Discharged!H80)</f>
        <v/>
      </c>
      <c r="G80" s="38" t="str">
        <f>IF(ISBLANK(Discharged!K80),"",Discharged!K80)</f>
        <v/>
      </c>
      <c r="H80" s="38" t="str">
        <f>IF(ISBLANK(Discharged!M80),"",Discharged!M80)</f>
        <v/>
      </c>
      <c r="I80" s="35" t="str">
        <f t="shared" si="3"/>
        <v/>
      </c>
    </row>
    <row r="81" spans="1:9" ht="143.25" customHeight="1">
      <c r="A81" s="35" t="str">
        <f t="shared" si="2"/>
        <v/>
      </c>
      <c r="B81" s="38" t="str">
        <f>IF(ISBLANK(Discharged!B81),"",Discharged!B81)</f>
        <v/>
      </c>
      <c r="C81" s="39" t="str">
        <f>IF(ISBLANK(Discharged!C81),"",CONCATENATE(Discharged!C81,", ",Discharged!D81))</f>
        <v/>
      </c>
      <c r="D81" s="38" t="str">
        <f>IF(ISBLANK(Discharged!E81),"",Discharged!E81)</f>
        <v/>
      </c>
      <c r="E81" s="38" t="str">
        <f>IF(ISBLANK(Discharged!F81),"",Discharged!F81)</f>
        <v/>
      </c>
      <c r="F81" s="39" t="str">
        <f>IF(ISBLANK(Discharged!H81),"",Discharged!H81)</f>
        <v/>
      </c>
      <c r="G81" s="38" t="str">
        <f>IF(ISBLANK(Discharged!K81),"",Discharged!K81)</f>
        <v/>
      </c>
      <c r="H81" s="38" t="str">
        <f>IF(ISBLANK(Discharged!M81),"",Discharged!M81)</f>
        <v/>
      </c>
      <c r="I81" s="35" t="str">
        <f t="shared" si="3"/>
        <v/>
      </c>
    </row>
    <row r="82" spans="1:9" ht="143.25" customHeight="1">
      <c r="A82" s="35" t="str">
        <f t="shared" si="2"/>
        <v/>
      </c>
      <c r="B82" s="38" t="str">
        <f>IF(ISBLANK(Discharged!B82),"",Discharged!B82)</f>
        <v/>
      </c>
      <c r="C82" s="39" t="str">
        <f>IF(ISBLANK(Discharged!C82),"",CONCATENATE(Discharged!C82,", ",Discharged!D82))</f>
        <v/>
      </c>
      <c r="D82" s="38" t="str">
        <f>IF(ISBLANK(Discharged!E82),"",Discharged!E82)</f>
        <v/>
      </c>
      <c r="E82" s="38" t="str">
        <f>IF(ISBLANK(Discharged!F82),"",Discharged!F82)</f>
        <v/>
      </c>
      <c r="F82" s="39" t="str">
        <f>IF(ISBLANK(Discharged!H82),"",Discharged!H82)</f>
        <v/>
      </c>
      <c r="G82" s="38" t="str">
        <f>IF(ISBLANK(Discharged!K82),"",Discharged!K82)</f>
        <v/>
      </c>
      <c r="H82" s="38" t="str">
        <f>IF(ISBLANK(Discharged!M82),"",Discharged!M82)</f>
        <v/>
      </c>
      <c r="I82" s="35" t="str">
        <f t="shared" si="3"/>
        <v/>
      </c>
    </row>
    <row r="83" spans="1:9" ht="143.25" customHeight="1">
      <c r="A83" s="35" t="str">
        <f t="shared" si="2"/>
        <v/>
      </c>
      <c r="B83" s="38" t="str">
        <f>IF(ISBLANK(Discharged!B83),"",Discharged!B83)</f>
        <v/>
      </c>
      <c r="C83" s="39" t="str">
        <f>IF(ISBLANK(Discharged!C83),"",CONCATENATE(Discharged!C83,", ",Discharged!D83))</f>
        <v/>
      </c>
      <c r="D83" s="38" t="str">
        <f>IF(ISBLANK(Discharged!E83),"",Discharged!E83)</f>
        <v/>
      </c>
      <c r="E83" s="38" t="str">
        <f>IF(ISBLANK(Discharged!F83),"",Discharged!F83)</f>
        <v/>
      </c>
      <c r="F83" s="39" t="str">
        <f>IF(ISBLANK(Discharged!H83),"",Discharged!H83)</f>
        <v/>
      </c>
      <c r="G83" s="38" t="str">
        <f>IF(ISBLANK(Discharged!K83),"",Discharged!K83)</f>
        <v/>
      </c>
      <c r="H83" s="38" t="str">
        <f>IF(ISBLANK(Discharged!M83),"",Discharged!M83)</f>
        <v/>
      </c>
      <c r="I83" s="35" t="str">
        <f t="shared" si="3"/>
        <v/>
      </c>
    </row>
    <row r="84" spans="1:9" ht="143.25" customHeight="1">
      <c r="A84" s="35" t="str">
        <f t="shared" si="2"/>
        <v/>
      </c>
      <c r="B84" s="38" t="str">
        <f>IF(ISBLANK(Discharged!B84),"",Discharged!B84)</f>
        <v/>
      </c>
      <c r="C84" s="39" t="str">
        <f>IF(ISBLANK(Discharged!C84),"",CONCATENATE(Discharged!C84,", ",Discharged!D84))</f>
        <v/>
      </c>
      <c r="D84" s="38" t="str">
        <f>IF(ISBLANK(Discharged!E84),"",Discharged!E84)</f>
        <v/>
      </c>
      <c r="E84" s="38" t="str">
        <f>IF(ISBLANK(Discharged!F84),"",Discharged!F84)</f>
        <v/>
      </c>
      <c r="F84" s="39" t="str">
        <f>IF(ISBLANK(Discharged!H84),"",Discharged!H84)</f>
        <v/>
      </c>
      <c r="G84" s="38" t="str">
        <f>IF(ISBLANK(Discharged!K84),"",Discharged!K84)</f>
        <v/>
      </c>
      <c r="H84" s="38" t="str">
        <f>IF(ISBLANK(Discharged!M84),"",Discharged!M84)</f>
        <v/>
      </c>
      <c r="I84" s="35" t="str">
        <f t="shared" si="3"/>
        <v/>
      </c>
    </row>
    <row r="85" spans="1:9" ht="143.25" customHeight="1">
      <c r="A85" s="35" t="str">
        <f t="shared" si="2"/>
        <v/>
      </c>
      <c r="B85" s="38" t="str">
        <f>IF(ISBLANK(Discharged!B85),"",Discharged!B85)</f>
        <v/>
      </c>
      <c r="C85" s="39" t="str">
        <f>IF(ISBLANK(Discharged!C85),"",CONCATENATE(Discharged!C85,", ",Discharged!D85))</f>
        <v/>
      </c>
      <c r="D85" s="38" t="str">
        <f>IF(ISBLANK(Discharged!E85),"",Discharged!E85)</f>
        <v/>
      </c>
      <c r="E85" s="38" t="str">
        <f>IF(ISBLANK(Discharged!F85),"",Discharged!F85)</f>
        <v/>
      </c>
      <c r="F85" s="39" t="str">
        <f>IF(ISBLANK(Discharged!H85),"",Discharged!H85)</f>
        <v/>
      </c>
      <c r="G85" s="38" t="str">
        <f>IF(ISBLANK(Discharged!K85),"",Discharged!K85)</f>
        <v/>
      </c>
      <c r="H85" s="38" t="str">
        <f>IF(ISBLANK(Discharged!M85),"",Discharged!M85)</f>
        <v/>
      </c>
      <c r="I85" s="35" t="str">
        <f t="shared" si="3"/>
        <v/>
      </c>
    </row>
    <row r="86" spans="1:9" ht="143.25" customHeight="1">
      <c r="A86" s="35" t="str">
        <f t="shared" si="2"/>
        <v/>
      </c>
      <c r="B86" s="38" t="str">
        <f>IF(ISBLANK(Discharged!B86),"",Discharged!B86)</f>
        <v/>
      </c>
      <c r="C86" s="39" t="str">
        <f>IF(ISBLANK(Discharged!C86),"",CONCATENATE(Discharged!C86,", ",Discharged!D86))</f>
        <v/>
      </c>
      <c r="D86" s="38" t="str">
        <f>IF(ISBLANK(Discharged!E86),"",Discharged!E86)</f>
        <v/>
      </c>
      <c r="E86" s="38" t="str">
        <f>IF(ISBLANK(Discharged!F86),"",Discharged!F86)</f>
        <v/>
      </c>
      <c r="F86" s="39" t="str">
        <f>IF(ISBLANK(Discharged!H86),"",Discharged!H86)</f>
        <v/>
      </c>
      <c r="G86" s="38" t="str">
        <f>IF(ISBLANK(Discharged!K86),"",Discharged!K86)</f>
        <v/>
      </c>
      <c r="H86" s="38" t="str">
        <f>IF(ISBLANK(Discharged!M86),"",Discharged!M86)</f>
        <v/>
      </c>
      <c r="I86" s="35" t="str">
        <f t="shared" si="3"/>
        <v/>
      </c>
    </row>
    <row r="87" spans="1:9" ht="143.25" customHeight="1">
      <c r="A87" s="35" t="str">
        <f t="shared" si="2"/>
        <v/>
      </c>
      <c r="B87" s="38" t="str">
        <f>IF(ISBLANK(Discharged!B87),"",Discharged!B87)</f>
        <v/>
      </c>
      <c r="C87" s="39" t="str">
        <f>IF(ISBLANK(Discharged!C87),"",CONCATENATE(Discharged!C87,", ",Discharged!D87))</f>
        <v/>
      </c>
      <c r="D87" s="38" t="str">
        <f>IF(ISBLANK(Discharged!E87),"",Discharged!E87)</f>
        <v/>
      </c>
      <c r="E87" s="38" t="str">
        <f>IF(ISBLANK(Discharged!F87),"",Discharged!F87)</f>
        <v/>
      </c>
      <c r="F87" s="39" t="str">
        <f>IF(ISBLANK(Discharged!H87),"",Discharged!H87)</f>
        <v/>
      </c>
      <c r="G87" s="38" t="str">
        <f>IF(ISBLANK(Discharged!K87),"",Discharged!K87)</f>
        <v/>
      </c>
      <c r="H87" s="38" t="str">
        <f>IF(ISBLANK(Discharged!M87),"",Discharged!M87)</f>
        <v/>
      </c>
      <c r="I87" s="35" t="str">
        <f t="shared" si="3"/>
        <v/>
      </c>
    </row>
    <row r="88" spans="1:9" ht="143.25" customHeight="1">
      <c r="A88" s="35" t="str">
        <f t="shared" si="2"/>
        <v/>
      </c>
      <c r="B88" s="38" t="str">
        <f>IF(ISBLANK(Discharged!B88),"",Discharged!B88)</f>
        <v/>
      </c>
      <c r="C88" s="39" t="str">
        <f>IF(ISBLANK(Discharged!C88),"",CONCATENATE(Discharged!C88,", ",Discharged!D88))</f>
        <v/>
      </c>
      <c r="D88" s="38" t="str">
        <f>IF(ISBLANK(Discharged!E88),"",Discharged!E88)</f>
        <v/>
      </c>
      <c r="E88" s="38" t="str">
        <f>IF(ISBLANK(Discharged!F88),"",Discharged!F88)</f>
        <v/>
      </c>
      <c r="F88" s="39" t="str">
        <f>IF(ISBLANK(Discharged!H88),"",Discharged!H88)</f>
        <v/>
      </c>
      <c r="G88" s="38" t="str">
        <f>IF(ISBLANK(Discharged!K88),"",Discharged!K88)</f>
        <v/>
      </c>
      <c r="H88" s="38" t="str">
        <f>IF(ISBLANK(Discharged!M88),"",Discharged!M88)</f>
        <v/>
      </c>
      <c r="I88" s="35" t="str">
        <f t="shared" si="3"/>
        <v/>
      </c>
    </row>
    <row r="89" spans="1:9" ht="143.25" customHeight="1">
      <c r="A89" s="35" t="str">
        <f t="shared" si="2"/>
        <v/>
      </c>
      <c r="B89" s="38" t="str">
        <f>IF(ISBLANK(Discharged!B89),"",Discharged!B89)</f>
        <v/>
      </c>
      <c r="C89" s="39" t="str">
        <f>IF(ISBLANK(Discharged!C89),"",CONCATENATE(Discharged!C89,", ",Discharged!D89))</f>
        <v/>
      </c>
      <c r="D89" s="38" t="str">
        <f>IF(ISBLANK(Discharged!E89),"",Discharged!E89)</f>
        <v/>
      </c>
      <c r="E89" s="38" t="str">
        <f>IF(ISBLANK(Discharged!F89),"",Discharged!F89)</f>
        <v/>
      </c>
      <c r="F89" s="39" t="str">
        <f>IF(ISBLANK(Discharged!H89),"",Discharged!H89)</f>
        <v/>
      </c>
      <c r="G89" s="38" t="str">
        <f>IF(ISBLANK(Discharged!K89),"",Discharged!K89)</f>
        <v/>
      </c>
      <c r="H89" s="38" t="str">
        <f>IF(ISBLANK(Discharged!M89),"",Discharged!M89)</f>
        <v/>
      </c>
      <c r="I89" s="35" t="str">
        <f t="shared" si="3"/>
        <v/>
      </c>
    </row>
    <row r="90" spans="1:9" ht="143.25" customHeight="1">
      <c r="A90" s="35" t="str">
        <f t="shared" si="2"/>
        <v/>
      </c>
      <c r="B90" s="38" t="str">
        <f>IF(ISBLANK(Discharged!B90),"",Discharged!B90)</f>
        <v/>
      </c>
      <c r="C90" s="39" t="str">
        <f>IF(ISBLANK(Discharged!C90),"",CONCATENATE(Discharged!C90,", ",Discharged!D90))</f>
        <v/>
      </c>
      <c r="D90" s="38" t="str">
        <f>IF(ISBLANK(Discharged!E90),"",Discharged!E90)</f>
        <v/>
      </c>
      <c r="E90" s="38" t="str">
        <f>IF(ISBLANK(Discharged!F90),"",Discharged!F90)</f>
        <v/>
      </c>
      <c r="F90" s="39" t="str">
        <f>IF(ISBLANK(Discharged!H90),"",Discharged!H90)</f>
        <v/>
      </c>
      <c r="G90" s="38" t="str">
        <f>IF(ISBLANK(Discharged!K90),"",Discharged!K90)</f>
        <v/>
      </c>
      <c r="H90" s="38" t="str">
        <f>IF(ISBLANK(Discharged!M90),"",Discharged!M90)</f>
        <v/>
      </c>
      <c r="I90" s="35" t="str">
        <f t="shared" si="3"/>
        <v/>
      </c>
    </row>
    <row r="91" spans="1:9" ht="143.25" customHeight="1">
      <c r="A91" s="35" t="str">
        <f t="shared" si="2"/>
        <v/>
      </c>
      <c r="B91" s="38" t="str">
        <f>IF(ISBLANK(Discharged!B91),"",Discharged!B91)</f>
        <v/>
      </c>
      <c r="C91" s="39" t="str">
        <f>IF(ISBLANK(Discharged!C91),"",CONCATENATE(Discharged!C91,", ",Discharged!D91))</f>
        <v/>
      </c>
      <c r="D91" s="38" t="str">
        <f>IF(ISBLANK(Discharged!E91),"",Discharged!E91)</f>
        <v/>
      </c>
      <c r="E91" s="38" t="str">
        <f>IF(ISBLANK(Discharged!F91),"",Discharged!F91)</f>
        <v/>
      </c>
      <c r="F91" s="39" t="str">
        <f>IF(ISBLANK(Discharged!H91),"",Discharged!H91)</f>
        <v/>
      </c>
      <c r="G91" s="38" t="str">
        <f>IF(ISBLANK(Discharged!K91),"",Discharged!K91)</f>
        <v/>
      </c>
      <c r="H91" s="38" t="str">
        <f>IF(ISBLANK(Discharged!M91),"",Discharged!M91)</f>
        <v/>
      </c>
      <c r="I91" s="35" t="str">
        <f t="shared" si="3"/>
        <v/>
      </c>
    </row>
    <row r="92" spans="1:9" ht="143.25" customHeight="1">
      <c r="A92" s="35" t="str">
        <f t="shared" si="2"/>
        <v/>
      </c>
      <c r="B92" s="38" t="str">
        <f>IF(ISBLANK(Discharged!B92),"",Discharged!B92)</f>
        <v/>
      </c>
      <c r="C92" s="39" t="str">
        <f>IF(ISBLANK(Discharged!C92),"",CONCATENATE(Discharged!C92,", ",Discharged!D92))</f>
        <v/>
      </c>
      <c r="D92" s="38" t="str">
        <f>IF(ISBLANK(Discharged!E92),"",Discharged!E92)</f>
        <v/>
      </c>
      <c r="E92" s="38" t="str">
        <f>IF(ISBLANK(Discharged!F92),"",Discharged!F92)</f>
        <v/>
      </c>
      <c r="F92" s="39" t="str">
        <f>IF(ISBLANK(Discharged!H92),"",Discharged!H92)</f>
        <v/>
      </c>
      <c r="G92" s="38" t="str">
        <f>IF(ISBLANK(Discharged!K92),"",Discharged!K92)</f>
        <v/>
      </c>
      <c r="H92" s="38" t="str">
        <f>IF(ISBLANK(Discharged!M92),"",Discharged!M92)</f>
        <v/>
      </c>
      <c r="I92" s="35" t="str">
        <f t="shared" si="3"/>
        <v/>
      </c>
    </row>
    <row r="93" spans="1:9" ht="143.25" customHeight="1">
      <c r="A93" s="35" t="str">
        <f t="shared" si="2"/>
        <v/>
      </c>
      <c r="B93" s="38" t="str">
        <f>IF(ISBLANK(Discharged!B93),"",Discharged!B93)</f>
        <v/>
      </c>
      <c r="C93" s="39" t="str">
        <f>IF(ISBLANK(Discharged!C93),"",CONCATENATE(Discharged!C93,", ",Discharged!D93))</f>
        <v/>
      </c>
      <c r="D93" s="38" t="str">
        <f>IF(ISBLANK(Discharged!E93),"",Discharged!E93)</f>
        <v/>
      </c>
      <c r="E93" s="38" t="str">
        <f>IF(ISBLANK(Discharged!F93),"",Discharged!F93)</f>
        <v/>
      </c>
      <c r="F93" s="39" t="str">
        <f>IF(ISBLANK(Discharged!H93),"",Discharged!H93)</f>
        <v/>
      </c>
      <c r="G93" s="38" t="str">
        <f>IF(ISBLANK(Discharged!K93),"",Discharged!K93)</f>
        <v/>
      </c>
      <c r="H93" s="38" t="str">
        <f>IF(ISBLANK(Discharged!M93),"",Discharged!M93)</f>
        <v/>
      </c>
      <c r="I93" s="35" t="str">
        <f t="shared" si="3"/>
        <v/>
      </c>
    </row>
    <row r="94" spans="1:9" ht="143.25" customHeight="1">
      <c r="A94" s="35" t="str">
        <f t="shared" si="2"/>
        <v/>
      </c>
      <c r="B94" s="38" t="str">
        <f>IF(ISBLANK(Discharged!B94),"",Discharged!B94)</f>
        <v/>
      </c>
      <c r="C94" s="39" t="str">
        <f>IF(ISBLANK(Discharged!C94),"",CONCATENATE(Discharged!C94,", ",Discharged!D94))</f>
        <v/>
      </c>
      <c r="D94" s="38" t="str">
        <f>IF(ISBLANK(Discharged!E94),"",Discharged!E94)</f>
        <v/>
      </c>
      <c r="E94" s="38" t="str">
        <f>IF(ISBLANK(Discharged!F94),"",Discharged!F94)</f>
        <v/>
      </c>
      <c r="F94" s="39" t="str">
        <f>IF(ISBLANK(Discharged!H94),"",Discharged!H94)</f>
        <v/>
      </c>
      <c r="G94" s="38" t="str">
        <f>IF(ISBLANK(Discharged!K94),"",Discharged!K94)</f>
        <v/>
      </c>
      <c r="H94" s="38" t="str">
        <f>IF(ISBLANK(Discharged!M94),"",Discharged!M94)</f>
        <v/>
      </c>
      <c r="I94" s="35" t="str">
        <f t="shared" si="3"/>
        <v/>
      </c>
    </row>
    <row r="95" spans="1:9" ht="143.25" customHeight="1">
      <c r="A95" s="35" t="str">
        <f t="shared" si="2"/>
        <v/>
      </c>
      <c r="B95" s="38" t="str">
        <f>IF(ISBLANK(Discharged!B95),"",Discharged!B95)</f>
        <v/>
      </c>
      <c r="C95" s="39" t="str">
        <f>IF(ISBLANK(Discharged!C95),"",CONCATENATE(Discharged!C95,", ",Discharged!D95))</f>
        <v/>
      </c>
      <c r="D95" s="38" t="str">
        <f>IF(ISBLANK(Discharged!E95),"",Discharged!E95)</f>
        <v/>
      </c>
      <c r="E95" s="38" t="str">
        <f>IF(ISBLANK(Discharged!F95),"",Discharged!F95)</f>
        <v/>
      </c>
      <c r="F95" s="39" t="str">
        <f>IF(ISBLANK(Discharged!H95),"",Discharged!H95)</f>
        <v/>
      </c>
      <c r="G95" s="38" t="str">
        <f>IF(ISBLANK(Discharged!K95),"",Discharged!K95)</f>
        <v/>
      </c>
      <c r="H95" s="38" t="str">
        <f>IF(ISBLANK(Discharged!M95),"",Discharged!M95)</f>
        <v/>
      </c>
      <c r="I95" s="35" t="str">
        <f t="shared" si="3"/>
        <v/>
      </c>
    </row>
    <row r="96" spans="1:9" ht="143.25" customHeight="1">
      <c r="A96" s="35" t="str">
        <f t="shared" si="2"/>
        <v/>
      </c>
      <c r="B96" s="38" t="str">
        <f>IF(ISBLANK(Discharged!B96),"",Discharged!B96)</f>
        <v/>
      </c>
      <c r="C96" s="39" t="str">
        <f>IF(ISBLANK(Discharged!C96),"",CONCATENATE(Discharged!C96,", ",Discharged!D96))</f>
        <v/>
      </c>
      <c r="D96" s="38" t="str">
        <f>IF(ISBLANK(Discharged!E96),"",Discharged!E96)</f>
        <v/>
      </c>
      <c r="E96" s="38" t="str">
        <f>IF(ISBLANK(Discharged!F96),"",Discharged!F96)</f>
        <v/>
      </c>
      <c r="F96" s="39" t="str">
        <f>IF(ISBLANK(Discharged!H96),"",Discharged!H96)</f>
        <v/>
      </c>
      <c r="G96" s="38" t="str">
        <f>IF(ISBLANK(Discharged!K96),"",Discharged!K96)</f>
        <v/>
      </c>
      <c r="H96" s="38" t="str">
        <f>IF(ISBLANK(Discharged!M96),"",Discharged!M96)</f>
        <v/>
      </c>
      <c r="I96" s="35" t="str">
        <f t="shared" si="3"/>
        <v/>
      </c>
    </row>
    <row r="97" spans="1:9" ht="143.25" customHeight="1">
      <c r="A97" s="35" t="str">
        <f t="shared" si="2"/>
        <v/>
      </c>
      <c r="B97" s="38" t="str">
        <f>IF(ISBLANK(Discharged!B97),"",Discharged!B97)</f>
        <v/>
      </c>
      <c r="C97" s="39" t="str">
        <f>IF(ISBLANK(Discharged!C97),"",CONCATENATE(Discharged!C97,", ",Discharged!D97))</f>
        <v/>
      </c>
      <c r="D97" s="38" t="str">
        <f>IF(ISBLANK(Discharged!E97),"",Discharged!E97)</f>
        <v/>
      </c>
      <c r="E97" s="38" t="str">
        <f>IF(ISBLANK(Discharged!F97),"",Discharged!F97)</f>
        <v/>
      </c>
      <c r="F97" s="39" t="str">
        <f>IF(ISBLANK(Discharged!H97),"",Discharged!H97)</f>
        <v/>
      </c>
      <c r="G97" s="38" t="str">
        <f>IF(ISBLANK(Discharged!K97),"",Discharged!K97)</f>
        <v/>
      </c>
      <c r="H97" s="38" t="str">
        <f>IF(ISBLANK(Discharged!M97),"",Discharged!M97)</f>
        <v/>
      </c>
      <c r="I97" s="35" t="str">
        <f t="shared" si="3"/>
        <v/>
      </c>
    </row>
    <row r="98" spans="1:9" ht="143.25" customHeight="1">
      <c r="A98" s="35" t="str">
        <f t="shared" si="2"/>
        <v/>
      </c>
      <c r="B98" s="38" t="str">
        <f>IF(ISBLANK(Discharged!B98),"",Discharged!B98)</f>
        <v/>
      </c>
      <c r="C98" s="39" t="str">
        <f>IF(ISBLANK(Discharged!C98),"",CONCATENATE(Discharged!C98,", ",Discharged!D98))</f>
        <v/>
      </c>
      <c r="D98" s="38" t="str">
        <f>IF(ISBLANK(Discharged!E98),"",Discharged!E98)</f>
        <v/>
      </c>
      <c r="E98" s="38" t="str">
        <f>IF(ISBLANK(Discharged!F98),"",Discharged!F98)</f>
        <v/>
      </c>
      <c r="F98" s="39" t="str">
        <f>IF(ISBLANK(Discharged!H98),"",Discharged!H98)</f>
        <v/>
      </c>
      <c r="G98" s="38" t="str">
        <f>IF(ISBLANK(Discharged!K98),"",Discharged!K98)</f>
        <v/>
      </c>
      <c r="H98" s="38" t="str">
        <f>IF(ISBLANK(Discharged!M98),"",Discharged!M98)</f>
        <v/>
      </c>
      <c r="I98" s="35" t="str">
        <f t="shared" si="3"/>
        <v/>
      </c>
    </row>
    <row r="99" spans="1:9" ht="143.25" customHeight="1">
      <c r="A99" s="35" t="str">
        <f t="shared" si="2"/>
        <v/>
      </c>
      <c r="B99" s="38" t="str">
        <f>IF(ISBLANK(Discharged!B99),"",Discharged!B99)</f>
        <v/>
      </c>
      <c r="C99" s="39" t="str">
        <f>IF(ISBLANK(Discharged!C99),"",CONCATENATE(Discharged!C99,", ",Discharged!D99))</f>
        <v/>
      </c>
      <c r="D99" s="38" t="str">
        <f>IF(ISBLANK(Discharged!E99),"",Discharged!E99)</f>
        <v/>
      </c>
      <c r="E99" s="38" t="str">
        <f>IF(ISBLANK(Discharged!F99),"",Discharged!F99)</f>
        <v/>
      </c>
      <c r="F99" s="39" t="str">
        <f>IF(ISBLANK(Discharged!H99),"",Discharged!H99)</f>
        <v/>
      </c>
      <c r="G99" s="38" t="str">
        <f>IF(ISBLANK(Discharged!K99),"",Discharged!K99)</f>
        <v/>
      </c>
      <c r="H99" s="38" t="str">
        <f>IF(ISBLANK(Discharged!M99),"",Discharged!M99)</f>
        <v/>
      </c>
      <c r="I99" s="35" t="str">
        <f t="shared" si="3"/>
        <v/>
      </c>
    </row>
    <row r="100" spans="1:9" ht="143.25" customHeight="1">
      <c r="A100" s="35" t="str">
        <f t="shared" si="2"/>
        <v/>
      </c>
      <c r="B100" s="38" t="str">
        <f>IF(ISBLANK(Discharged!B100),"",Discharged!B100)</f>
        <v/>
      </c>
      <c r="C100" s="39" t="str">
        <f>IF(ISBLANK(Discharged!C100),"",CONCATENATE(Discharged!C100,", ",Discharged!D100))</f>
        <v/>
      </c>
      <c r="D100" s="38" t="str">
        <f>IF(ISBLANK(Discharged!E100),"",Discharged!E100)</f>
        <v/>
      </c>
      <c r="E100" s="38" t="str">
        <f>IF(ISBLANK(Discharged!F100),"",Discharged!F100)</f>
        <v/>
      </c>
      <c r="F100" s="39" t="str">
        <f>IF(ISBLANK(Discharged!H100),"",Discharged!H100)</f>
        <v/>
      </c>
      <c r="G100" s="38" t="str">
        <f>IF(ISBLANK(Discharged!K100),"",Discharged!K100)</f>
        <v/>
      </c>
      <c r="H100" s="38" t="str">
        <f>IF(ISBLANK(Discharged!M100),"",Discharged!M100)</f>
        <v/>
      </c>
      <c r="I100" s="35" t="str">
        <f t="shared" si="3"/>
        <v/>
      </c>
    </row>
    <row r="101" spans="1:9" ht="143.25" customHeight="1">
      <c r="A101" s="35" t="str">
        <f t="shared" si="2"/>
        <v/>
      </c>
      <c r="B101" s="38" t="str">
        <f>IF(ISBLANK(Discharged!B101),"",Discharged!B101)</f>
        <v/>
      </c>
      <c r="C101" s="39" t="str">
        <f>IF(ISBLANK(Discharged!C101),"",CONCATENATE(Discharged!C101,", ",Discharged!D101))</f>
        <v/>
      </c>
      <c r="D101" s="38" t="str">
        <f>IF(ISBLANK(Discharged!E101),"",Discharged!E101)</f>
        <v/>
      </c>
      <c r="E101" s="38" t="str">
        <f>IF(ISBLANK(Discharged!F101),"",Discharged!F101)</f>
        <v/>
      </c>
      <c r="F101" s="39" t="str">
        <f>IF(ISBLANK(Discharged!H101),"",Discharged!H101)</f>
        <v/>
      </c>
      <c r="G101" s="38" t="str">
        <f>IF(ISBLANK(Discharged!K101),"",Discharged!K101)</f>
        <v/>
      </c>
      <c r="H101" s="38" t="str">
        <f>IF(ISBLANK(Discharged!M101),"",Discharged!M101)</f>
        <v/>
      </c>
      <c r="I101" s="35" t="str">
        <f t="shared" si="3"/>
        <v/>
      </c>
    </row>
    <row r="102" spans="1:9" ht="143.25" customHeight="1">
      <c r="A102" s="35" t="str">
        <f t="shared" si="2"/>
        <v/>
      </c>
      <c r="B102" s="38" t="str">
        <f>IF(ISBLANK(Discharged!B102),"",Discharged!B102)</f>
        <v/>
      </c>
      <c r="C102" s="39" t="str">
        <f>IF(ISBLANK(Discharged!C102),"",CONCATENATE(Discharged!C102,", ",Discharged!D102))</f>
        <v/>
      </c>
      <c r="D102" s="38" t="str">
        <f>IF(ISBLANK(Discharged!E102),"",Discharged!E102)</f>
        <v/>
      </c>
      <c r="E102" s="38" t="str">
        <f>IF(ISBLANK(Discharged!F102),"",Discharged!F102)</f>
        <v/>
      </c>
      <c r="F102" s="39" t="str">
        <f>IF(ISBLANK(Discharged!H102),"",Discharged!H102)</f>
        <v/>
      </c>
      <c r="G102" s="38" t="str">
        <f>IF(ISBLANK(Discharged!K102),"",Discharged!K102)</f>
        <v/>
      </c>
      <c r="H102" s="38" t="str">
        <f>IF(ISBLANK(Discharged!M102),"",Discharged!M102)</f>
        <v/>
      </c>
      <c r="I102" s="35" t="str">
        <f t="shared" si="3"/>
        <v/>
      </c>
    </row>
    <row r="103" spans="1:9" ht="143.25" customHeight="1">
      <c r="A103" s="35" t="str">
        <f t="shared" si="2"/>
        <v/>
      </c>
      <c r="B103" s="38" t="str">
        <f>IF(ISBLANK(Discharged!B103),"",Discharged!B103)</f>
        <v/>
      </c>
      <c r="C103" s="39" t="str">
        <f>IF(ISBLANK(Discharged!C103),"",CONCATENATE(Discharged!C103,", ",Discharged!D103))</f>
        <v/>
      </c>
      <c r="D103" s="38" t="str">
        <f>IF(ISBLANK(Discharged!E103),"",Discharged!E103)</f>
        <v/>
      </c>
      <c r="E103" s="38" t="str">
        <f>IF(ISBLANK(Discharged!F103),"",Discharged!F103)</f>
        <v/>
      </c>
      <c r="F103" s="39" t="str">
        <f>IF(ISBLANK(Discharged!H103),"",Discharged!H103)</f>
        <v/>
      </c>
      <c r="G103" s="38" t="str">
        <f>IF(ISBLANK(Discharged!K103),"",Discharged!K103)</f>
        <v/>
      </c>
      <c r="H103" s="38" t="str">
        <f>IF(ISBLANK(Discharged!M103),"",Discharged!M103)</f>
        <v/>
      </c>
      <c r="I103" s="35" t="str">
        <f t="shared" si="3"/>
        <v/>
      </c>
    </row>
    <row r="104" spans="1:9" ht="143.25" customHeight="1">
      <c r="A104" s="35" t="str">
        <f t="shared" si="2"/>
        <v/>
      </c>
      <c r="B104" s="38" t="str">
        <f>IF(ISBLANK(Discharged!B104),"",Discharged!B104)</f>
        <v/>
      </c>
      <c r="C104" s="39" t="str">
        <f>IF(ISBLANK(Discharged!C104),"",CONCATENATE(Discharged!C104,", ",Discharged!D104))</f>
        <v/>
      </c>
      <c r="D104" s="38" t="str">
        <f>IF(ISBLANK(Discharged!E104),"",Discharged!E104)</f>
        <v/>
      </c>
      <c r="E104" s="38" t="str">
        <f>IF(ISBLANK(Discharged!F104),"",Discharged!F104)</f>
        <v/>
      </c>
      <c r="F104" s="39" t="str">
        <f>IF(ISBLANK(Discharged!H104),"",Discharged!H104)</f>
        <v/>
      </c>
      <c r="G104" s="38" t="str">
        <f>IF(ISBLANK(Discharged!K104),"",Discharged!K104)</f>
        <v/>
      </c>
      <c r="H104" s="38" t="str">
        <f>IF(ISBLANK(Discharged!M104),"",Discharged!M104)</f>
        <v/>
      </c>
      <c r="I104" s="35" t="str">
        <f t="shared" si="3"/>
        <v/>
      </c>
    </row>
    <row r="105" spans="1:9" ht="143.25" customHeight="1">
      <c r="A105" s="35" t="str">
        <f t="shared" si="2"/>
        <v/>
      </c>
      <c r="B105" s="38" t="str">
        <f>IF(ISBLANK(Discharged!B105),"",Discharged!B105)</f>
        <v/>
      </c>
      <c r="C105" s="39" t="str">
        <f>IF(ISBLANK(Discharged!C105),"",CONCATENATE(Discharged!C105,", ",Discharged!D105))</f>
        <v/>
      </c>
      <c r="D105" s="38" t="str">
        <f>IF(ISBLANK(Discharged!E105),"",Discharged!E105)</f>
        <v/>
      </c>
      <c r="E105" s="38" t="str">
        <f>IF(ISBLANK(Discharged!F105),"",Discharged!F105)</f>
        <v/>
      </c>
      <c r="F105" s="39" t="str">
        <f>IF(ISBLANK(Discharged!H105),"",Discharged!H105)</f>
        <v/>
      </c>
      <c r="G105" s="38" t="str">
        <f>IF(ISBLANK(Discharged!K105),"",Discharged!K105)</f>
        <v/>
      </c>
      <c r="H105" s="38" t="str">
        <f>IF(ISBLANK(Discharged!M105),"",Discharged!M105)</f>
        <v/>
      </c>
      <c r="I105" s="35" t="str">
        <f t="shared" si="3"/>
        <v/>
      </c>
    </row>
    <row r="106" spans="1:9" ht="143.25" customHeight="1">
      <c r="A106" s="35" t="str">
        <f t="shared" si="2"/>
        <v/>
      </c>
      <c r="B106" s="38" t="str">
        <f>IF(ISBLANK(Discharged!B106),"",Discharged!B106)</f>
        <v/>
      </c>
      <c r="C106" s="39" t="str">
        <f>IF(ISBLANK(Discharged!C106),"",CONCATENATE(Discharged!C106,", ",Discharged!D106))</f>
        <v/>
      </c>
      <c r="D106" s="38" t="str">
        <f>IF(ISBLANK(Discharged!E106),"",Discharged!E106)</f>
        <v/>
      </c>
      <c r="E106" s="38" t="str">
        <f>IF(ISBLANK(Discharged!F106),"",Discharged!F106)</f>
        <v/>
      </c>
      <c r="F106" s="39" t="str">
        <f>IF(ISBLANK(Discharged!H106),"",Discharged!H106)</f>
        <v/>
      </c>
      <c r="G106" s="38" t="str">
        <f>IF(ISBLANK(Discharged!K106),"",Discharged!K106)</f>
        <v/>
      </c>
      <c r="H106" s="38" t="str">
        <f>IF(ISBLANK(Discharged!M106),"",Discharged!M106)</f>
        <v/>
      </c>
      <c r="I106" s="35" t="str">
        <f t="shared" si="3"/>
        <v/>
      </c>
    </row>
    <row r="107" spans="1:9" ht="143.25" customHeight="1">
      <c r="A107" s="35" t="str">
        <f t="shared" si="2"/>
        <v/>
      </c>
      <c r="B107" s="38" t="str">
        <f>IF(ISBLANK(Discharged!B107),"",Discharged!B107)</f>
        <v/>
      </c>
      <c r="C107" s="39" t="str">
        <f>IF(ISBLANK(Discharged!C107),"",CONCATENATE(Discharged!C107,", ",Discharged!D107))</f>
        <v/>
      </c>
      <c r="D107" s="38" t="str">
        <f>IF(ISBLANK(Discharged!E107),"",Discharged!E107)</f>
        <v/>
      </c>
      <c r="E107" s="38" t="str">
        <f>IF(ISBLANK(Discharged!F107),"",Discharged!F107)</f>
        <v/>
      </c>
      <c r="F107" s="39" t="str">
        <f>IF(ISBLANK(Discharged!H107),"",Discharged!H107)</f>
        <v/>
      </c>
      <c r="G107" s="38" t="str">
        <f>IF(ISBLANK(Discharged!K107),"",Discharged!K107)</f>
        <v/>
      </c>
      <c r="H107" s="38" t="str">
        <f>IF(ISBLANK(Discharged!M107),"",Discharged!M107)</f>
        <v/>
      </c>
      <c r="I107" s="35" t="str">
        <f t="shared" si="3"/>
        <v/>
      </c>
    </row>
    <row r="108" spans="1:9" ht="143.25" customHeight="1">
      <c r="A108" s="35" t="str">
        <f t="shared" si="2"/>
        <v/>
      </c>
      <c r="B108" s="38" t="str">
        <f>IF(ISBLANK(Discharged!B108),"",Discharged!B108)</f>
        <v/>
      </c>
      <c r="C108" s="39" t="str">
        <f>IF(ISBLANK(Discharged!C108),"",CONCATENATE(Discharged!C108,", ",Discharged!D108))</f>
        <v/>
      </c>
      <c r="D108" s="38" t="str">
        <f>IF(ISBLANK(Discharged!E108),"",Discharged!E108)</f>
        <v/>
      </c>
      <c r="E108" s="38" t="str">
        <f>IF(ISBLANK(Discharged!F108),"",Discharged!F108)</f>
        <v/>
      </c>
      <c r="F108" s="39" t="str">
        <f>IF(ISBLANK(Discharged!H108),"",Discharged!H108)</f>
        <v/>
      </c>
      <c r="G108" s="38" t="str">
        <f>IF(ISBLANK(Discharged!K108),"",Discharged!K108)</f>
        <v/>
      </c>
      <c r="H108" s="38" t="str">
        <f>IF(ISBLANK(Discharged!M108),"",Discharged!M108)</f>
        <v/>
      </c>
      <c r="I108" s="35" t="str">
        <f t="shared" si="3"/>
        <v/>
      </c>
    </row>
    <row r="109" spans="1:9" ht="143.25" customHeight="1">
      <c r="A109" s="35" t="str">
        <f t="shared" si="2"/>
        <v/>
      </c>
      <c r="B109" s="38" t="str">
        <f>IF(ISBLANK(Discharged!B109),"",Discharged!B109)</f>
        <v/>
      </c>
      <c r="C109" s="39" t="str">
        <f>IF(ISBLANK(Discharged!C109),"",CONCATENATE(Discharged!C109,", ",Discharged!D109))</f>
        <v/>
      </c>
      <c r="D109" s="38" t="str">
        <f>IF(ISBLANK(Discharged!E109),"",Discharged!E109)</f>
        <v/>
      </c>
      <c r="E109" s="38" t="str">
        <f>IF(ISBLANK(Discharged!F109),"",Discharged!F109)</f>
        <v/>
      </c>
      <c r="F109" s="39" t="str">
        <f>IF(ISBLANK(Discharged!H109),"",Discharged!H109)</f>
        <v/>
      </c>
      <c r="G109" s="38" t="str">
        <f>IF(ISBLANK(Discharged!K109),"",Discharged!K109)</f>
        <v/>
      </c>
      <c r="H109" s="38" t="str">
        <f>IF(ISBLANK(Discharged!M109),"",Discharged!M109)</f>
        <v/>
      </c>
      <c r="I109" s="35" t="str">
        <f t="shared" si="3"/>
        <v/>
      </c>
    </row>
    <row r="110" spans="1:9" ht="143.25" customHeight="1">
      <c r="A110" s="35" t="str">
        <f t="shared" si="2"/>
        <v/>
      </c>
      <c r="B110" s="38" t="str">
        <f>IF(ISBLANK(Discharged!B110),"",Discharged!B110)</f>
        <v/>
      </c>
      <c r="C110" s="39" t="str">
        <f>IF(ISBLANK(Discharged!C110),"",CONCATENATE(Discharged!C110,", ",Discharged!D110))</f>
        <v/>
      </c>
      <c r="D110" s="38" t="str">
        <f>IF(ISBLANK(Discharged!E110),"",Discharged!E110)</f>
        <v/>
      </c>
      <c r="E110" s="38" t="str">
        <f>IF(ISBLANK(Discharged!F110),"",Discharged!F110)</f>
        <v/>
      </c>
      <c r="F110" s="39" t="str">
        <f>IF(ISBLANK(Discharged!H110),"",Discharged!H110)</f>
        <v/>
      </c>
      <c r="G110" s="38" t="str">
        <f>IF(ISBLANK(Discharged!K110),"",Discharged!K110)</f>
        <v/>
      </c>
      <c r="H110" s="38" t="str">
        <f>IF(ISBLANK(Discharged!M110),"",Discharged!M110)</f>
        <v/>
      </c>
      <c r="I110" s="35" t="str">
        <f t="shared" si="3"/>
        <v/>
      </c>
    </row>
    <row r="111" spans="1:9" ht="143.25" customHeight="1">
      <c r="A111" s="35" t="str">
        <f t="shared" si="2"/>
        <v/>
      </c>
      <c r="B111" s="38" t="str">
        <f>IF(ISBLANK(Discharged!B111),"",Discharged!B111)</f>
        <v/>
      </c>
      <c r="C111" s="39" t="str">
        <f>IF(ISBLANK(Discharged!C111),"",CONCATENATE(Discharged!C111,", ",Discharged!D111))</f>
        <v/>
      </c>
      <c r="D111" s="38" t="str">
        <f>IF(ISBLANK(Discharged!E111),"",Discharged!E111)</f>
        <v/>
      </c>
      <c r="E111" s="38" t="str">
        <f>IF(ISBLANK(Discharged!F111),"",Discharged!F111)</f>
        <v/>
      </c>
      <c r="F111" s="39" t="str">
        <f>IF(ISBLANK(Discharged!H111),"",Discharged!H111)</f>
        <v/>
      </c>
      <c r="G111" s="38" t="str">
        <f>IF(ISBLANK(Discharged!K111),"",Discharged!K111)</f>
        <v/>
      </c>
      <c r="H111" s="38" t="str">
        <f>IF(ISBLANK(Discharged!M111),"",Discharged!M111)</f>
        <v/>
      </c>
      <c r="I111" s="35" t="str">
        <f t="shared" si="3"/>
        <v/>
      </c>
    </row>
    <row r="112" spans="1:9" ht="143.25" customHeight="1">
      <c r="A112" s="35" t="str">
        <f t="shared" si="2"/>
        <v/>
      </c>
      <c r="B112" s="38" t="str">
        <f>IF(ISBLANK(Discharged!B112),"",Discharged!B112)</f>
        <v/>
      </c>
      <c r="C112" s="39" t="str">
        <f>IF(ISBLANK(Discharged!C112),"",CONCATENATE(Discharged!C112,", ",Discharged!D112))</f>
        <v/>
      </c>
      <c r="D112" s="38" t="str">
        <f>IF(ISBLANK(Discharged!E112),"",Discharged!E112)</f>
        <v/>
      </c>
      <c r="E112" s="38" t="str">
        <f>IF(ISBLANK(Discharged!F112),"",Discharged!F112)</f>
        <v/>
      </c>
      <c r="F112" s="39" t="str">
        <f>IF(ISBLANK(Discharged!H112),"",Discharged!H112)</f>
        <v/>
      </c>
      <c r="G112" s="38" t="str">
        <f>IF(ISBLANK(Discharged!K112),"",Discharged!K112)</f>
        <v/>
      </c>
      <c r="H112" s="38" t="str">
        <f>IF(ISBLANK(Discharged!M112),"",Discharged!M112)</f>
        <v/>
      </c>
      <c r="I112" s="35" t="str">
        <f t="shared" si="3"/>
        <v/>
      </c>
    </row>
    <row r="113" spans="1:9" ht="143.25" customHeight="1">
      <c r="A113" s="35" t="str">
        <f t="shared" si="2"/>
        <v/>
      </c>
      <c r="B113" s="38" t="str">
        <f>IF(ISBLANK(Discharged!B113),"",Discharged!B113)</f>
        <v/>
      </c>
      <c r="C113" s="39" t="str">
        <f>IF(ISBLANK(Discharged!C113),"",CONCATENATE(Discharged!C113,", ",Discharged!D113))</f>
        <v/>
      </c>
      <c r="D113" s="38" t="str">
        <f>IF(ISBLANK(Discharged!E113),"",Discharged!E113)</f>
        <v/>
      </c>
      <c r="E113" s="38" t="str">
        <f>IF(ISBLANK(Discharged!F113),"",Discharged!F113)</f>
        <v/>
      </c>
      <c r="F113" s="39" t="str">
        <f>IF(ISBLANK(Discharged!H113),"",Discharged!H113)</f>
        <v/>
      </c>
      <c r="G113" s="38" t="str">
        <f>IF(ISBLANK(Discharged!K113),"",Discharged!K113)</f>
        <v/>
      </c>
      <c r="H113" s="38" t="str">
        <f>IF(ISBLANK(Discharged!M113),"",Discharged!M113)</f>
        <v/>
      </c>
      <c r="I113" s="35" t="str">
        <f t="shared" si="3"/>
        <v/>
      </c>
    </row>
    <row r="114" spans="1:9" ht="143.25" customHeight="1">
      <c r="A114" s="35" t="str">
        <f t="shared" si="2"/>
        <v/>
      </c>
      <c r="B114" s="38" t="str">
        <f>IF(ISBLANK(Discharged!B114),"",Discharged!B114)</f>
        <v/>
      </c>
      <c r="C114" s="39" t="str">
        <f>IF(ISBLANK(Discharged!C114),"",CONCATENATE(Discharged!C114,", ",Discharged!D114))</f>
        <v/>
      </c>
      <c r="D114" s="38" t="str">
        <f>IF(ISBLANK(Discharged!E114),"",Discharged!E114)</f>
        <v/>
      </c>
      <c r="E114" s="38" t="str">
        <f>IF(ISBLANK(Discharged!F114),"",Discharged!F114)</f>
        <v/>
      </c>
      <c r="F114" s="39" t="str">
        <f>IF(ISBLANK(Discharged!H114),"",Discharged!H114)</f>
        <v/>
      </c>
      <c r="G114" s="38" t="str">
        <f>IF(ISBLANK(Discharged!K114),"",Discharged!K114)</f>
        <v/>
      </c>
      <c r="H114" s="38" t="str">
        <f>IF(ISBLANK(Discharged!M114),"",Discharged!M114)</f>
        <v/>
      </c>
      <c r="I114" s="35" t="str">
        <f t="shared" si="3"/>
        <v/>
      </c>
    </row>
    <row r="115" spans="1:9" ht="143.25" customHeight="1">
      <c r="A115" s="35" t="str">
        <f t="shared" si="2"/>
        <v/>
      </c>
      <c r="B115" s="38" t="str">
        <f>IF(ISBLANK(Discharged!B115),"",Discharged!B115)</f>
        <v/>
      </c>
      <c r="C115" s="39" t="str">
        <f>IF(ISBLANK(Discharged!C115),"",CONCATENATE(Discharged!C115,", ",Discharged!D115))</f>
        <v/>
      </c>
      <c r="D115" s="38" t="str">
        <f>IF(ISBLANK(Discharged!E115),"",Discharged!E115)</f>
        <v/>
      </c>
      <c r="E115" s="38" t="str">
        <f>IF(ISBLANK(Discharged!F115),"",Discharged!F115)</f>
        <v/>
      </c>
      <c r="F115" s="39" t="str">
        <f>IF(ISBLANK(Discharged!H115),"",Discharged!H115)</f>
        <v/>
      </c>
      <c r="G115" s="38" t="str">
        <f>IF(ISBLANK(Discharged!K115),"",Discharged!K115)</f>
        <v/>
      </c>
      <c r="H115" s="38" t="str">
        <f>IF(ISBLANK(Discharged!M115),"",Discharged!M115)</f>
        <v/>
      </c>
      <c r="I115" s="35" t="str">
        <f t="shared" si="3"/>
        <v/>
      </c>
    </row>
    <row r="116" spans="1:9" ht="143.25" customHeight="1">
      <c r="A116" s="35" t="str">
        <f t="shared" si="2"/>
        <v/>
      </c>
      <c r="B116" s="38" t="str">
        <f>IF(ISBLANK(Discharged!B116),"",Discharged!B116)</f>
        <v/>
      </c>
      <c r="C116" s="39" t="str">
        <f>IF(ISBLANK(Discharged!C116),"",CONCATENATE(Discharged!C116,", ",Discharged!D116))</f>
        <v/>
      </c>
      <c r="D116" s="38" t="str">
        <f>IF(ISBLANK(Discharged!E116),"",Discharged!E116)</f>
        <v/>
      </c>
      <c r="E116" s="38" t="str">
        <f>IF(ISBLANK(Discharged!F116),"",Discharged!F116)</f>
        <v/>
      </c>
      <c r="F116" s="39" t="str">
        <f>IF(ISBLANK(Discharged!H116),"",Discharged!H116)</f>
        <v/>
      </c>
      <c r="G116" s="38" t="str">
        <f>IF(ISBLANK(Discharged!K116),"",Discharged!K116)</f>
        <v/>
      </c>
      <c r="H116" s="38" t="str">
        <f>IF(ISBLANK(Discharged!M116),"",Discharged!M116)</f>
        <v/>
      </c>
      <c r="I116" s="35" t="str">
        <f t="shared" si="3"/>
        <v/>
      </c>
    </row>
    <row r="117" spans="1:9" ht="143.25" customHeight="1">
      <c r="A117" s="35" t="str">
        <f t="shared" si="2"/>
        <v/>
      </c>
      <c r="B117" s="38" t="str">
        <f>IF(ISBLANK(Discharged!B117),"",Discharged!B117)</f>
        <v/>
      </c>
      <c r="C117" s="39" t="str">
        <f>IF(ISBLANK(Discharged!C117),"",CONCATENATE(Discharged!C117,", ",Discharged!D117))</f>
        <v/>
      </c>
      <c r="D117" s="38" t="str">
        <f>IF(ISBLANK(Discharged!E117),"",Discharged!E117)</f>
        <v/>
      </c>
      <c r="E117" s="38" t="str">
        <f>IF(ISBLANK(Discharged!F117),"",Discharged!F117)</f>
        <v/>
      </c>
      <c r="F117" s="39" t="str">
        <f>IF(ISBLANK(Discharged!H117),"",Discharged!H117)</f>
        <v/>
      </c>
      <c r="G117" s="38" t="str">
        <f>IF(ISBLANK(Discharged!K117),"",Discharged!K117)</f>
        <v/>
      </c>
      <c r="H117" s="38" t="str">
        <f>IF(ISBLANK(Discharged!M117),"",Discharged!M117)</f>
        <v/>
      </c>
      <c r="I117" s="35" t="str">
        <f t="shared" si="3"/>
        <v/>
      </c>
    </row>
    <row r="118" spans="1:9" ht="143.25" customHeight="1">
      <c r="A118" s="35" t="str">
        <f t="shared" si="2"/>
        <v/>
      </c>
      <c r="B118" s="38" t="str">
        <f>IF(ISBLANK(Discharged!B118),"",Discharged!B118)</f>
        <v/>
      </c>
      <c r="C118" s="39" t="str">
        <f>IF(ISBLANK(Discharged!C118),"",CONCATENATE(Discharged!C118,", ",Discharged!D118))</f>
        <v/>
      </c>
      <c r="D118" s="38" t="str">
        <f>IF(ISBLANK(Discharged!E118),"",Discharged!E118)</f>
        <v/>
      </c>
      <c r="E118" s="38" t="str">
        <f>IF(ISBLANK(Discharged!F118),"",Discharged!F118)</f>
        <v/>
      </c>
      <c r="F118" s="39" t="str">
        <f>IF(ISBLANK(Discharged!H118),"",Discharged!H118)</f>
        <v/>
      </c>
      <c r="G118" s="38" t="str">
        <f>IF(ISBLANK(Discharged!K118),"",Discharged!K118)</f>
        <v/>
      </c>
      <c r="H118" s="38" t="str">
        <f>IF(ISBLANK(Discharged!M118),"",Discharged!M118)</f>
        <v/>
      </c>
      <c r="I118" s="35" t="str">
        <f t="shared" si="3"/>
        <v/>
      </c>
    </row>
    <row r="119" spans="1:9" ht="143.25" customHeight="1">
      <c r="A119" s="35" t="str">
        <f t="shared" si="2"/>
        <v/>
      </c>
      <c r="B119" s="38" t="str">
        <f>IF(ISBLANK(Discharged!B119),"",Discharged!B119)</f>
        <v/>
      </c>
      <c r="C119" s="39" t="str">
        <f>IF(ISBLANK(Discharged!C119),"",CONCATENATE(Discharged!C119,", ",Discharged!D119))</f>
        <v/>
      </c>
      <c r="D119" s="38" t="str">
        <f>IF(ISBLANK(Discharged!E119),"",Discharged!E119)</f>
        <v/>
      </c>
      <c r="E119" s="38" t="str">
        <f>IF(ISBLANK(Discharged!F119),"",Discharged!F119)</f>
        <v/>
      </c>
      <c r="F119" s="39" t="str">
        <f>IF(ISBLANK(Discharged!H119),"",Discharged!H119)</f>
        <v/>
      </c>
      <c r="G119" s="38" t="str">
        <f>IF(ISBLANK(Discharged!K119),"",Discharged!K119)</f>
        <v/>
      </c>
      <c r="H119" s="38" t="str">
        <f>IF(ISBLANK(Discharged!M119),"",Discharged!M119)</f>
        <v/>
      </c>
      <c r="I119" s="35" t="str">
        <f t="shared" si="3"/>
        <v/>
      </c>
    </row>
    <row r="120" spans="1:9" ht="143.25" customHeight="1">
      <c r="A120" s="35" t="str">
        <f t="shared" si="2"/>
        <v/>
      </c>
      <c r="B120" s="38" t="str">
        <f>IF(ISBLANK(Discharged!B120),"",Discharged!B120)</f>
        <v/>
      </c>
      <c r="C120" s="39" t="str">
        <f>IF(ISBLANK(Discharged!C120),"",CONCATENATE(Discharged!C120,", ",Discharged!D120))</f>
        <v/>
      </c>
      <c r="D120" s="38" t="str">
        <f>IF(ISBLANK(Discharged!E120),"",Discharged!E120)</f>
        <v/>
      </c>
      <c r="E120" s="38" t="str">
        <f>IF(ISBLANK(Discharged!F120),"",Discharged!F120)</f>
        <v/>
      </c>
      <c r="F120" s="39" t="str">
        <f>IF(ISBLANK(Discharged!H120),"",Discharged!H120)</f>
        <v/>
      </c>
      <c r="G120" s="38" t="str">
        <f>IF(ISBLANK(Discharged!K120),"",Discharged!K120)</f>
        <v/>
      </c>
      <c r="H120" s="38" t="str">
        <f>IF(ISBLANK(Discharged!M120),"",Discharged!M120)</f>
        <v/>
      </c>
      <c r="I120" s="35" t="str">
        <f t="shared" si="3"/>
        <v/>
      </c>
    </row>
    <row r="121" spans="1:9" ht="143.25" customHeight="1">
      <c r="A121" s="35" t="str">
        <f t="shared" si="2"/>
        <v/>
      </c>
      <c r="B121" s="38" t="str">
        <f>IF(ISBLANK(Discharged!B121),"",Discharged!B121)</f>
        <v/>
      </c>
      <c r="C121" s="39" t="str">
        <f>IF(ISBLANK(Discharged!C121),"",CONCATENATE(Discharged!C121,", ",Discharged!D121))</f>
        <v/>
      </c>
      <c r="D121" s="38" t="str">
        <f>IF(ISBLANK(Discharged!E121),"",Discharged!E121)</f>
        <v/>
      </c>
      <c r="E121" s="38" t="str">
        <f>IF(ISBLANK(Discharged!F121),"",Discharged!F121)</f>
        <v/>
      </c>
      <c r="F121" s="39" t="str">
        <f>IF(ISBLANK(Discharged!H121),"",Discharged!H121)</f>
        <v/>
      </c>
      <c r="G121" s="38" t="str">
        <f>IF(ISBLANK(Discharged!K121),"",Discharged!K121)</f>
        <v/>
      </c>
      <c r="H121" s="38" t="str">
        <f>IF(ISBLANK(Discharged!M121),"",Discharged!M121)</f>
        <v/>
      </c>
      <c r="I121" s="35" t="str">
        <f t="shared" si="3"/>
        <v/>
      </c>
    </row>
    <row r="122" spans="1:9" ht="143.25" customHeight="1">
      <c r="A122" s="35" t="str">
        <f t="shared" si="2"/>
        <v/>
      </c>
      <c r="B122" s="38" t="str">
        <f>IF(ISBLANK(Discharged!B122),"",Discharged!B122)</f>
        <v/>
      </c>
      <c r="C122" s="39" t="str">
        <f>IF(ISBLANK(Discharged!C122),"",CONCATENATE(Discharged!C122,", ",Discharged!D122))</f>
        <v/>
      </c>
      <c r="D122" s="38" t="str">
        <f>IF(ISBLANK(Discharged!E122),"",Discharged!E122)</f>
        <v/>
      </c>
      <c r="E122" s="38" t="str">
        <f>IF(ISBLANK(Discharged!F122),"",Discharged!F122)</f>
        <v/>
      </c>
      <c r="F122" s="39" t="str">
        <f>IF(ISBLANK(Discharged!H122),"",Discharged!H122)</f>
        <v/>
      </c>
      <c r="G122" s="38" t="str">
        <f>IF(ISBLANK(Discharged!K122),"",Discharged!K122)</f>
        <v/>
      </c>
      <c r="H122" s="38" t="str">
        <f>IF(ISBLANK(Discharged!M122),"",Discharged!M122)</f>
        <v/>
      </c>
      <c r="I122" s="35" t="str">
        <f t="shared" si="3"/>
        <v/>
      </c>
    </row>
    <row r="123" spans="1:9" ht="143.25" customHeight="1">
      <c r="A123" s="35" t="str">
        <f t="shared" si="2"/>
        <v/>
      </c>
      <c r="B123" s="38" t="str">
        <f>IF(ISBLANK(Discharged!B123),"",Discharged!B123)</f>
        <v/>
      </c>
      <c r="C123" s="39" t="str">
        <f>IF(ISBLANK(Discharged!C123),"",CONCATENATE(Discharged!C123,", ",Discharged!D123))</f>
        <v/>
      </c>
      <c r="D123" s="38" t="str">
        <f>IF(ISBLANK(Discharged!E123),"",Discharged!E123)</f>
        <v/>
      </c>
      <c r="E123" s="38" t="str">
        <f>IF(ISBLANK(Discharged!F123),"",Discharged!F123)</f>
        <v/>
      </c>
      <c r="F123" s="39" t="str">
        <f>IF(ISBLANK(Discharged!H123),"",Discharged!H123)</f>
        <v/>
      </c>
      <c r="G123" s="38" t="str">
        <f>IF(ISBLANK(Discharged!K123),"",Discharged!K123)</f>
        <v/>
      </c>
      <c r="H123" s="38" t="str">
        <f>IF(ISBLANK(Discharged!M123),"",Discharged!M123)</f>
        <v/>
      </c>
      <c r="I123" s="35" t="str">
        <f t="shared" si="3"/>
        <v/>
      </c>
    </row>
    <row r="124" spans="1:9" ht="143.25" customHeight="1">
      <c r="A124" s="35" t="str">
        <f t="shared" si="2"/>
        <v/>
      </c>
      <c r="B124" s="38" t="str">
        <f>IF(ISBLANK(Discharged!B124),"",Discharged!B124)</f>
        <v/>
      </c>
      <c r="C124" s="39" t="str">
        <f>IF(ISBLANK(Discharged!C124),"",CONCATENATE(Discharged!C124,", ",Discharged!D124))</f>
        <v/>
      </c>
      <c r="D124" s="38" t="str">
        <f>IF(ISBLANK(Discharged!E124),"",Discharged!E124)</f>
        <v/>
      </c>
      <c r="E124" s="38" t="str">
        <f>IF(ISBLANK(Discharged!F124),"",Discharged!F124)</f>
        <v/>
      </c>
      <c r="F124" s="39" t="str">
        <f>IF(ISBLANK(Discharged!H124),"",Discharged!H124)</f>
        <v/>
      </c>
      <c r="G124" s="38" t="str">
        <f>IF(ISBLANK(Discharged!K124),"",Discharged!K124)</f>
        <v/>
      </c>
      <c r="H124" s="38" t="str">
        <f>IF(ISBLANK(Discharged!M124),"",Discharged!M124)</f>
        <v/>
      </c>
      <c r="I124" s="35" t="str">
        <f t="shared" si="3"/>
        <v/>
      </c>
    </row>
    <row r="125" spans="1:9" ht="143.25" customHeight="1">
      <c r="A125" s="35" t="str">
        <f t="shared" si="2"/>
        <v/>
      </c>
      <c r="B125" s="38" t="str">
        <f>IF(ISBLANK(Discharged!B125),"",Discharged!B125)</f>
        <v/>
      </c>
      <c r="C125" s="39" t="str">
        <f>IF(ISBLANK(Discharged!C125),"",CONCATENATE(Discharged!C125,", ",Discharged!D125))</f>
        <v/>
      </c>
      <c r="D125" s="38" t="str">
        <f>IF(ISBLANK(Discharged!E125),"",Discharged!E125)</f>
        <v/>
      </c>
      <c r="E125" s="38" t="str">
        <f>IF(ISBLANK(Discharged!F125),"",Discharged!F125)</f>
        <v/>
      </c>
      <c r="F125" s="39" t="str">
        <f>IF(ISBLANK(Discharged!H125),"",Discharged!H125)</f>
        <v/>
      </c>
      <c r="G125" s="38" t="str">
        <f>IF(ISBLANK(Discharged!K125),"",Discharged!K125)</f>
        <v/>
      </c>
      <c r="H125" s="38" t="str">
        <f>IF(ISBLANK(Discharged!M125),"",Discharged!M125)</f>
        <v/>
      </c>
      <c r="I125" s="35" t="str">
        <f t="shared" si="3"/>
        <v/>
      </c>
    </row>
    <row r="126" spans="1:9" ht="143.25" customHeight="1">
      <c r="A126" s="35" t="str">
        <f t="shared" si="2"/>
        <v/>
      </c>
      <c r="B126" s="38" t="str">
        <f>IF(ISBLANK(Discharged!B126),"",Discharged!B126)</f>
        <v/>
      </c>
      <c r="C126" s="39" t="str">
        <f>IF(ISBLANK(Discharged!C126),"",CONCATENATE(Discharged!C126,", ",Discharged!D126))</f>
        <v/>
      </c>
      <c r="D126" s="38" t="str">
        <f>IF(ISBLANK(Discharged!E126),"",Discharged!E126)</f>
        <v/>
      </c>
      <c r="E126" s="38" t="str">
        <f>IF(ISBLANK(Discharged!F126),"",Discharged!F126)</f>
        <v/>
      </c>
      <c r="F126" s="39" t="str">
        <f>IF(ISBLANK(Discharged!H126),"",Discharged!H126)</f>
        <v/>
      </c>
      <c r="G126" s="38" t="str">
        <f>IF(ISBLANK(Discharged!K126),"",Discharged!K126)</f>
        <v/>
      </c>
      <c r="H126" s="38" t="str">
        <f>IF(ISBLANK(Discharged!M126),"",Discharged!M126)</f>
        <v/>
      </c>
      <c r="I126" s="35" t="str">
        <f t="shared" si="3"/>
        <v/>
      </c>
    </row>
    <row r="127" spans="1:9" ht="143.25" customHeight="1">
      <c r="A127" s="35" t="str">
        <f t="shared" si="2"/>
        <v/>
      </c>
      <c r="B127" s="38" t="str">
        <f>IF(ISBLANK(Discharged!B127),"",Discharged!B127)</f>
        <v/>
      </c>
      <c r="C127" s="39" t="str">
        <f>IF(ISBLANK(Discharged!C127),"",CONCATENATE(Discharged!C127,", ",Discharged!D127))</f>
        <v/>
      </c>
      <c r="D127" s="38" t="str">
        <f>IF(ISBLANK(Discharged!E127),"",Discharged!E127)</f>
        <v/>
      </c>
      <c r="E127" s="38" t="str">
        <f>IF(ISBLANK(Discharged!F127),"",Discharged!F127)</f>
        <v/>
      </c>
      <c r="F127" s="39" t="str">
        <f>IF(ISBLANK(Discharged!H127),"",Discharged!H127)</f>
        <v/>
      </c>
      <c r="G127" s="38" t="str">
        <f>IF(ISBLANK(Discharged!K127),"",Discharged!K127)</f>
        <v/>
      </c>
      <c r="H127" s="38" t="str">
        <f>IF(ISBLANK(Discharged!M127),"",Discharged!M127)</f>
        <v/>
      </c>
      <c r="I127" s="35" t="str">
        <f t="shared" si="3"/>
        <v/>
      </c>
    </row>
    <row r="128" spans="1:9" ht="143.25" customHeight="1">
      <c r="A128" s="35" t="str">
        <f t="shared" si="2"/>
        <v/>
      </c>
      <c r="B128" s="38" t="str">
        <f>IF(ISBLANK(Discharged!B128),"",Discharged!B128)</f>
        <v/>
      </c>
      <c r="C128" s="39" t="str">
        <f>IF(ISBLANK(Discharged!C128),"",CONCATENATE(Discharged!C128,", ",Discharged!D128))</f>
        <v/>
      </c>
      <c r="D128" s="38" t="str">
        <f>IF(ISBLANK(Discharged!E128),"",Discharged!E128)</f>
        <v/>
      </c>
      <c r="E128" s="38" t="str">
        <f>IF(ISBLANK(Discharged!F128),"",Discharged!F128)</f>
        <v/>
      </c>
      <c r="F128" s="39" t="str">
        <f>IF(ISBLANK(Discharged!H128),"",Discharged!H128)</f>
        <v/>
      </c>
      <c r="G128" s="38" t="str">
        <f>IF(ISBLANK(Discharged!K128),"",Discharged!K128)</f>
        <v/>
      </c>
      <c r="H128" s="38" t="str">
        <f>IF(ISBLANK(Discharged!M128),"",Discharged!M128)</f>
        <v/>
      </c>
      <c r="I128" s="35" t="str">
        <f t="shared" si="3"/>
        <v/>
      </c>
    </row>
    <row r="129" spans="1:9" ht="143.25" customHeight="1">
      <c r="A129" s="35" t="str">
        <f t="shared" si="2"/>
        <v/>
      </c>
      <c r="B129" s="38" t="str">
        <f>IF(ISBLANK(Discharged!B129),"",Discharged!B129)</f>
        <v/>
      </c>
      <c r="C129" s="39" t="str">
        <f>IF(ISBLANK(Discharged!C129),"",CONCATENATE(Discharged!C129,", ",Discharged!D129))</f>
        <v/>
      </c>
      <c r="D129" s="38" t="str">
        <f>IF(ISBLANK(Discharged!E129),"",Discharged!E129)</f>
        <v/>
      </c>
      <c r="E129" s="38" t="str">
        <f>IF(ISBLANK(Discharged!F129),"",Discharged!F129)</f>
        <v/>
      </c>
      <c r="F129" s="39" t="str">
        <f>IF(ISBLANK(Discharged!H129),"",Discharged!H129)</f>
        <v/>
      </c>
      <c r="G129" s="38" t="str">
        <f>IF(ISBLANK(Discharged!K129),"",Discharged!K129)</f>
        <v/>
      </c>
      <c r="H129" s="38" t="str">
        <f>IF(ISBLANK(Discharged!M129),"",Discharged!M129)</f>
        <v/>
      </c>
      <c r="I129" s="35" t="str">
        <f t="shared" si="3"/>
        <v/>
      </c>
    </row>
    <row r="130" spans="1:9" ht="143.25" customHeight="1">
      <c r="A130" s="35" t="str">
        <f t="shared" ref="A130:A193" si="4">IF(B130="","",CONCATENATE("*",B130,"*"))</f>
        <v/>
      </c>
      <c r="B130" s="38" t="str">
        <f>IF(ISBLANK(Discharged!B130),"",Discharged!B130)</f>
        <v/>
      </c>
      <c r="C130" s="39" t="str">
        <f>IF(ISBLANK(Discharged!C130),"",CONCATENATE(Discharged!C130,", ",Discharged!D130))</f>
        <v/>
      </c>
      <c r="D130" s="38" t="str">
        <f>IF(ISBLANK(Discharged!E130),"",Discharged!E130)</f>
        <v/>
      </c>
      <c r="E130" s="38" t="str">
        <f>IF(ISBLANK(Discharged!F130),"",Discharged!F130)</f>
        <v/>
      </c>
      <c r="F130" s="39" t="str">
        <f>IF(ISBLANK(Discharged!H130),"",Discharged!H130)</f>
        <v/>
      </c>
      <c r="G130" s="38" t="str">
        <f>IF(ISBLANK(Discharged!K130),"",Discharged!K130)</f>
        <v/>
      </c>
      <c r="H130" s="38" t="str">
        <f>IF(ISBLANK(Discharged!M130),"",Discharged!M130)</f>
        <v/>
      </c>
      <c r="I130" s="35" t="str">
        <f t="shared" ref="I130:I193" si="5">IF(D130="","",CONCATENATE("*",D130,"*"))</f>
        <v/>
      </c>
    </row>
    <row r="131" spans="1:9" ht="143.25" customHeight="1">
      <c r="A131" s="35" t="str">
        <f t="shared" si="4"/>
        <v/>
      </c>
      <c r="B131" s="38" t="str">
        <f>IF(ISBLANK(Discharged!B131),"",Discharged!B131)</f>
        <v/>
      </c>
      <c r="C131" s="39" t="str">
        <f>IF(ISBLANK(Discharged!C131),"",CONCATENATE(Discharged!C131,", ",Discharged!D131))</f>
        <v/>
      </c>
      <c r="D131" s="38" t="str">
        <f>IF(ISBLANK(Discharged!E131),"",Discharged!E131)</f>
        <v/>
      </c>
      <c r="E131" s="38" t="str">
        <f>IF(ISBLANK(Discharged!F131),"",Discharged!F131)</f>
        <v/>
      </c>
      <c r="F131" s="39" t="str">
        <f>IF(ISBLANK(Discharged!H131),"",Discharged!H131)</f>
        <v/>
      </c>
      <c r="G131" s="38" t="str">
        <f>IF(ISBLANK(Discharged!K131),"",Discharged!K131)</f>
        <v/>
      </c>
      <c r="H131" s="38" t="str">
        <f>IF(ISBLANK(Discharged!M131),"",Discharged!M131)</f>
        <v/>
      </c>
      <c r="I131" s="35" t="str">
        <f t="shared" si="5"/>
        <v/>
      </c>
    </row>
    <row r="132" spans="1:9" ht="143.25" customHeight="1">
      <c r="A132" s="35" t="str">
        <f t="shared" si="4"/>
        <v/>
      </c>
      <c r="B132" s="38" t="str">
        <f>IF(ISBLANK(Discharged!B132),"",Discharged!B132)</f>
        <v/>
      </c>
      <c r="C132" s="39" t="str">
        <f>IF(ISBLANK(Discharged!C132),"",CONCATENATE(Discharged!C132,", ",Discharged!D132))</f>
        <v/>
      </c>
      <c r="D132" s="38" t="str">
        <f>IF(ISBLANK(Discharged!E132),"",Discharged!E132)</f>
        <v/>
      </c>
      <c r="E132" s="38" t="str">
        <f>IF(ISBLANK(Discharged!F132),"",Discharged!F132)</f>
        <v/>
      </c>
      <c r="F132" s="39" t="str">
        <f>IF(ISBLANK(Discharged!H132),"",Discharged!H132)</f>
        <v/>
      </c>
      <c r="G132" s="38" t="str">
        <f>IF(ISBLANK(Discharged!K132),"",Discharged!K132)</f>
        <v/>
      </c>
      <c r="H132" s="38" t="str">
        <f>IF(ISBLANK(Discharged!M132),"",Discharged!M132)</f>
        <v/>
      </c>
      <c r="I132" s="35" t="str">
        <f t="shared" si="5"/>
        <v/>
      </c>
    </row>
    <row r="133" spans="1:9" ht="143.25" customHeight="1">
      <c r="A133" s="35" t="str">
        <f t="shared" si="4"/>
        <v/>
      </c>
      <c r="B133" s="38" t="str">
        <f>IF(ISBLANK(Discharged!B133),"",Discharged!B133)</f>
        <v/>
      </c>
      <c r="C133" s="39" t="str">
        <f>IF(ISBLANK(Discharged!C133),"",CONCATENATE(Discharged!C133,", ",Discharged!D133))</f>
        <v/>
      </c>
      <c r="D133" s="38" t="str">
        <f>IF(ISBLANK(Discharged!E133),"",Discharged!E133)</f>
        <v/>
      </c>
      <c r="E133" s="38" t="str">
        <f>IF(ISBLANK(Discharged!F133),"",Discharged!F133)</f>
        <v/>
      </c>
      <c r="F133" s="39" t="str">
        <f>IF(ISBLANK(Discharged!H133),"",Discharged!H133)</f>
        <v/>
      </c>
      <c r="G133" s="38" t="str">
        <f>IF(ISBLANK(Discharged!K133),"",Discharged!K133)</f>
        <v/>
      </c>
      <c r="H133" s="38" t="str">
        <f>IF(ISBLANK(Discharged!M133),"",Discharged!M133)</f>
        <v/>
      </c>
      <c r="I133" s="35" t="str">
        <f t="shared" si="5"/>
        <v/>
      </c>
    </row>
    <row r="134" spans="1:9" ht="143.25" customHeight="1">
      <c r="A134" s="35" t="str">
        <f t="shared" si="4"/>
        <v/>
      </c>
      <c r="B134" s="38" t="str">
        <f>IF(ISBLANK(Discharged!B134),"",Discharged!B134)</f>
        <v/>
      </c>
      <c r="C134" s="39" t="str">
        <f>IF(ISBLANK(Discharged!C134),"",CONCATENATE(Discharged!C134,", ",Discharged!D134))</f>
        <v/>
      </c>
      <c r="D134" s="38" t="str">
        <f>IF(ISBLANK(Discharged!E134),"",Discharged!E134)</f>
        <v/>
      </c>
      <c r="E134" s="38" t="str">
        <f>IF(ISBLANK(Discharged!F134),"",Discharged!F134)</f>
        <v/>
      </c>
      <c r="F134" s="39" t="str">
        <f>IF(ISBLANK(Discharged!H134),"",Discharged!H134)</f>
        <v/>
      </c>
      <c r="G134" s="38" t="str">
        <f>IF(ISBLANK(Discharged!K134),"",Discharged!K134)</f>
        <v/>
      </c>
      <c r="H134" s="38" t="str">
        <f>IF(ISBLANK(Discharged!M134),"",Discharged!M134)</f>
        <v/>
      </c>
      <c r="I134" s="35" t="str">
        <f t="shared" si="5"/>
        <v/>
      </c>
    </row>
    <row r="135" spans="1:9" ht="143.25" customHeight="1">
      <c r="A135" s="35" t="str">
        <f t="shared" si="4"/>
        <v/>
      </c>
      <c r="B135" s="38" t="str">
        <f>IF(ISBLANK(Discharged!B135),"",Discharged!B135)</f>
        <v/>
      </c>
      <c r="C135" s="39" t="str">
        <f>IF(ISBLANK(Discharged!C135),"",CONCATENATE(Discharged!C135,", ",Discharged!D135))</f>
        <v/>
      </c>
      <c r="D135" s="38" t="str">
        <f>IF(ISBLANK(Discharged!E135),"",Discharged!E135)</f>
        <v/>
      </c>
      <c r="E135" s="38" t="str">
        <f>IF(ISBLANK(Discharged!F135),"",Discharged!F135)</f>
        <v/>
      </c>
      <c r="F135" s="39" t="str">
        <f>IF(ISBLANK(Discharged!H135),"",Discharged!H135)</f>
        <v/>
      </c>
      <c r="G135" s="38" t="str">
        <f>IF(ISBLANK(Discharged!K135),"",Discharged!K135)</f>
        <v/>
      </c>
      <c r="H135" s="38" t="str">
        <f>IF(ISBLANK(Discharged!M135),"",Discharged!M135)</f>
        <v/>
      </c>
      <c r="I135" s="35" t="str">
        <f t="shared" si="5"/>
        <v/>
      </c>
    </row>
    <row r="136" spans="1:9" ht="143.25" customHeight="1">
      <c r="A136" s="35" t="str">
        <f t="shared" si="4"/>
        <v/>
      </c>
      <c r="B136" s="38" t="str">
        <f>IF(ISBLANK(Discharged!B136),"",Discharged!B136)</f>
        <v/>
      </c>
      <c r="C136" s="39" t="str">
        <f>IF(ISBLANK(Discharged!C136),"",CONCATENATE(Discharged!C136,", ",Discharged!D136))</f>
        <v/>
      </c>
      <c r="D136" s="38" t="str">
        <f>IF(ISBLANK(Discharged!E136),"",Discharged!E136)</f>
        <v/>
      </c>
      <c r="E136" s="38" t="str">
        <f>IF(ISBLANK(Discharged!F136),"",Discharged!F136)</f>
        <v/>
      </c>
      <c r="F136" s="39" t="str">
        <f>IF(ISBLANK(Discharged!H136),"",Discharged!H136)</f>
        <v/>
      </c>
      <c r="G136" s="38" t="str">
        <f>IF(ISBLANK(Discharged!K136),"",Discharged!K136)</f>
        <v/>
      </c>
      <c r="H136" s="38" t="str">
        <f>IF(ISBLANK(Discharged!M136),"",Discharged!M136)</f>
        <v/>
      </c>
      <c r="I136" s="35" t="str">
        <f t="shared" si="5"/>
        <v/>
      </c>
    </row>
    <row r="137" spans="1:9" ht="143.25" customHeight="1">
      <c r="A137" s="35" t="str">
        <f t="shared" si="4"/>
        <v/>
      </c>
      <c r="B137" s="38" t="str">
        <f>IF(ISBLANK(Discharged!B137),"",Discharged!B137)</f>
        <v/>
      </c>
      <c r="C137" s="39" t="str">
        <f>IF(ISBLANK(Discharged!C137),"",CONCATENATE(Discharged!C137,", ",Discharged!D137))</f>
        <v/>
      </c>
      <c r="D137" s="38" t="str">
        <f>IF(ISBLANK(Discharged!E137),"",Discharged!E137)</f>
        <v/>
      </c>
      <c r="E137" s="38" t="str">
        <f>IF(ISBLANK(Discharged!F137),"",Discharged!F137)</f>
        <v/>
      </c>
      <c r="F137" s="39" t="str">
        <f>IF(ISBLANK(Discharged!H137),"",Discharged!H137)</f>
        <v/>
      </c>
      <c r="G137" s="38" t="str">
        <f>IF(ISBLANK(Discharged!K137),"",Discharged!K137)</f>
        <v/>
      </c>
      <c r="H137" s="38" t="str">
        <f>IF(ISBLANK(Discharged!M137),"",Discharged!M137)</f>
        <v/>
      </c>
      <c r="I137" s="35" t="str">
        <f t="shared" si="5"/>
        <v/>
      </c>
    </row>
    <row r="138" spans="1:9" ht="143.25" customHeight="1">
      <c r="A138" s="35" t="str">
        <f t="shared" si="4"/>
        <v/>
      </c>
      <c r="B138" s="38" t="str">
        <f>IF(ISBLANK(Discharged!B138),"",Discharged!B138)</f>
        <v/>
      </c>
      <c r="C138" s="39" t="str">
        <f>IF(ISBLANK(Discharged!C138),"",CONCATENATE(Discharged!C138,", ",Discharged!D138))</f>
        <v/>
      </c>
      <c r="D138" s="38" t="str">
        <f>IF(ISBLANK(Discharged!E138),"",Discharged!E138)</f>
        <v/>
      </c>
      <c r="E138" s="38" t="str">
        <f>IF(ISBLANK(Discharged!F138),"",Discharged!F138)</f>
        <v/>
      </c>
      <c r="F138" s="39" t="str">
        <f>IF(ISBLANK(Discharged!H138),"",Discharged!H138)</f>
        <v/>
      </c>
      <c r="G138" s="38" t="str">
        <f>IF(ISBLANK(Discharged!K138),"",Discharged!K138)</f>
        <v/>
      </c>
      <c r="H138" s="38" t="str">
        <f>IF(ISBLANK(Discharged!M138),"",Discharged!M138)</f>
        <v/>
      </c>
      <c r="I138" s="35" t="str">
        <f t="shared" si="5"/>
        <v/>
      </c>
    </row>
    <row r="139" spans="1:9" ht="143.25" customHeight="1">
      <c r="A139" s="35" t="str">
        <f t="shared" si="4"/>
        <v/>
      </c>
      <c r="B139" s="38" t="str">
        <f>IF(ISBLANK(Discharged!B139),"",Discharged!B139)</f>
        <v/>
      </c>
      <c r="C139" s="39" t="str">
        <f>IF(ISBLANK(Discharged!C139),"",CONCATENATE(Discharged!C139,", ",Discharged!D139))</f>
        <v/>
      </c>
      <c r="D139" s="38" t="str">
        <f>IF(ISBLANK(Discharged!E139),"",Discharged!E139)</f>
        <v/>
      </c>
      <c r="E139" s="38" t="str">
        <f>IF(ISBLANK(Discharged!F139),"",Discharged!F139)</f>
        <v/>
      </c>
      <c r="F139" s="39" t="str">
        <f>IF(ISBLANK(Discharged!H139),"",Discharged!H139)</f>
        <v/>
      </c>
      <c r="G139" s="38" t="str">
        <f>IF(ISBLANK(Discharged!K139),"",Discharged!K139)</f>
        <v/>
      </c>
      <c r="H139" s="38" t="str">
        <f>IF(ISBLANK(Discharged!M139),"",Discharged!M139)</f>
        <v/>
      </c>
      <c r="I139" s="35" t="str">
        <f t="shared" si="5"/>
        <v/>
      </c>
    </row>
    <row r="140" spans="1:9" ht="143.25" customHeight="1">
      <c r="A140" s="35" t="str">
        <f t="shared" si="4"/>
        <v/>
      </c>
      <c r="B140" s="38" t="str">
        <f>IF(ISBLANK(Discharged!B140),"",Discharged!B140)</f>
        <v/>
      </c>
      <c r="C140" s="39" t="str">
        <f>IF(ISBLANK(Discharged!C140),"",CONCATENATE(Discharged!C140,", ",Discharged!D140))</f>
        <v/>
      </c>
      <c r="D140" s="38" t="str">
        <f>IF(ISBLANK(Discharged!E140),"",Discharged!E140)</f>
        <v/>
      </c>
      <c r="E140" s="38" t="str">
        <f>IF(ISBLANK(Discharged!F140),"",Discharged!F140)</f>
        <v/>
      </c>
      <c r="F140" s="39" t="str">
        <f>IF(ISBLANK(Discharged!H140),"",Discharged!H140)</f>
        <v/>
      </c>
      <c r="G140" s="38" t="str">
        <f>IF(ISBLANK(Discharged!K140),"",Discharged!K140)</f>
        <v/>
      </c>
      <c r="H140" s="38" t="str">
        <f>IF(ISBLANK(Discharged!M140),"",Discharged!M140)</f>
        <v/>
      </c>
      <c r="I140" s="35" t="str">
        <f t="shared" si="5"/>
        <v/>
      </c>
    </row>
    <row r="141" spans="1:9" ht="143.25" customHeight="1">
      <c r="A141" s="35" t="str">
        <f t="shared" si="4"/>
        <v/>
      </c>
      <c r="B141" s="38" t="str">
        <f>IF(ISBLANK(Discharged!B141),"",Discharged!B141)</f>
        <v/>
      </c>
      <c r="C141" s="39" t="str">
        <f>IF(ISBLANK(Discharged!C141),"",CONCATENATE(Discharged!C141,", ",Discharged!D141))</f>
        <v/>
      </c>
      <c r="D141" s="38" t="str">
        <f>IF(ISBLANK(Discharged!E141),"",Discharged!E141)</f>
        <v/>
      </c>
      <c r="E141" s="38" t="str">
        <f>IF(ISBLANK(Discharged!F141),"",Discharged!F141)</f>
        <v/>
      </c>
      <c r="F141" s="39" t="str">
        <f>IF(ISBLANK(Discharged!H141),"",Discharged!H141)</f>
        <v/>
      </c>
      <c r="G141" s="38" t="str">
        <f>IF(ISBLANK(Discharged!K141),"",Discharged!K141)</f>
        <v/>
      </c>
      <c r="H141" s="38" t="str">
        <f>IF(ISBLANK(Discharged!M141),"",Discharged!M141)</f>
        <v/>
      </c>
      <c r="I141" s="35" t="str">
        <f t="shared" si="5"/>
        <v/>
      </c>
    </row>
    <row r="142" spans="1:9" ht="143.25" customHeight="1">
      <c r="A142" s="35" t="str">
        <f t="shared" si="4"/>
        <v/>
      </c>
      <c r="B142" s="38" t="str">
        <f>IF(ISBLANK(Discharged!B142),"",Discharged!B142)</f>
        <v/>
      </c>
      <c r="C142" s="39" t="str">
        <f>IF(ISBLANK(Discharged!C142),"",CONCATENATE(Discharged!C142,", ",Discharged!D142))</f>
        <v/>
      </c>
      <c r="D142" s="38" t="str">
        <f>IF(ISBLANK(Discharged!E142),"",Discharged!E142)</f>
        <v/>
      </c>
      <c r="E142" s="38" t="str">
        <f>IF(ISBLANK(Discharged!F142),"",Discharged!F142)</f>
        <v/>
      </c>
      <c r="F142" s="39" t="str">
        <f>IF(ISBLANK(Discharged!H142),"",Discharged!H142)</f>
        <v/>
      </c>
      <c r="G142" s="38" t="str">
        <f>IF(ISBLANK(Discharged!K142),"",Discharged!K142)</f>
        <v/>
      </c>
      <c r="H142" s="38" t="str">
        <f>IF(ISBLANK(Discharged!M142),"",Discharged!M142)</f>
        <v/>
      </c>
      <c r="I142" s="35" t="str">
        <f t="shared" si="5"/>
        <v/>
      </c>
    </row>
    <row r="143" spans="1:9" ht="143.25" customHeight="1">
      <c r="A143" s="35" t="str">
        <f t="shared" si="4"/>
        <v/>
      </c>
      <c r="B143" s="38" t="str">
        <f>IF(ISBLANK(Discharged!B143),"",Discharged!B143)</f>
        <v/>
      </c>
      <c r="C143" s="39" t="str">
        <f>IF(ISBLANK(Discharged!C143),"",CONCATENATE(Discharged!C143,", ",Discharged!D143))</f>
        <v/>
      </c>
      <c r="D143" s="38" t="str">
        <f>IF(ISBLANK(Discharged!E143),"",Discharged!E143)</f>
        <v/>
      </c>
      <c r="E143" s="38" t="str">
        <f>IF(ISBLANK(Discharged!F143),"",Discharged!F143)</f>
        <v/>
      </c>
      <c r="F143" s="39" t="str">
        <f>IF(ISBLANK(Discharged!H143),"",Discharged!H143)</f>
        <v/>
      </c>
      <c r="G143" s="38" t="str">
        <f>IF(ISBLANK(Discharged!K143),"",Discharged!K143)</f>
        <v/>
      </c>
      <c r="H143" s="38" t="str">
        <f>IF(ISBLANK(Discharged!M143),"",Discharged!M143)</f>
        <v/>
      </c>
      <c r="I143" s="35" t="str">
        <f t="shared" si="5"/>
        <v/>
      </c>
    </row>
    <row r="144" spans="1:9" ht="143.25" customHeight="1">
      <c r="A144" s="35" t="str">
        <f t="shared" si="4"/>
        <v/>
      </c>
      <c r="B144" s="38" t="str">
        <f>IF(ISBLANK(Discharged!B144),"",Discharged!B144)</f>
        <v/>
      </c>
      <c r="C144" s="39" t="str">
        <f>IF(ISBLANK(Discharged!C144),"",CONCATENATE(Discharged!C144,", ",Discharged!D144))</f>
        <v/>
      </c>
      <c r="D144" s="38" t="str">
        <f>IF(ISBLANK(Discharged!E144),"",Discharged!E144)</f>
        <v/>
      </c>
      <c r="E144" s="38" t="str">
        <f>IF(ISBLANK(Discharged!F144),"",Discharged!F144)</f>
        <v/>
      </c>
      <c r="F144" s="39" t="str">
        <f>IF(ISBLANK(Discharged!H144),"",Discharged!H144)</f>
        <v/>
      </c>
      <c r="G144" s="38" t="str">
        <f>IF(ISBLANK(Discharged!K144),"",Discharged!K144)</f>
        <v/>
      </c>
      <c r="H144" s="38" t="str">
        <f>IF(ISBLANK(Discharged!M144),"",Discharged!M144)</f>
        <v/>
      </c>
      <c r="I144" s="35" t="str">
        <f t="shared" si="5"/>
        <v/>
      </c>
    </row>
    <row r="145" spans="1:9" ht="143.25" customHeight="1">
      <c r="A145" s="35" t="str">
        <f t="shared" si="4"/>
        <v/>
      </c>
      <c r="B145" s="38" t="str">
        <f>IF(ISBLANK(Discharged!B145),"",Discharged!B145)</f>
        <v/>
      </c>
      <c r="C145" s="39" t="str">
        <f>IF(ISBLANK(Discharged!C145),"",CONCATENATE(Discharged!C145,", ",Discharged!D145))</f>
        <v/>
      </c>
      <c r="D145" s="38" t="str">
        <f>IF(ISBLANK(Discharged!E145),"",Discharged!E145)</f>
        <v/>
      </c>
      <c r="E145" s="38" t="str">
        <f>IF(ISBLANK(Discharged!F145),"",Discharged!F145)</f>
        <v/>
      </c>
      <c r="F145" s="39" t="str">
        <f>IF(ISBLANK(Discharged!H145),"",Discharged!H145)</f>
        <v/>
      </c>
      <c r="G145" s="38" t="str">
        <f>IF(ISBLANK(Discharged!K145),"",Discharged!K145)</f>
        <v/>
      </c>
      <c r="H145" s="38" t="str">
        <f>IF(ISBLANK(Discharged!M145),"",Discharged!M145)</f>
        <v/>
      </c>
      <c r="I145" s="35" t="str">
        <f t="shared" si="5"/>
        <v/>
      </c>
    </row>
    <row r="146" spans="1:9" ht="143.25" customHeight="1">
      <c r="A146" s="35" t="str">
        <f t="shared" si="4"/>
        <v/>
      </c>
      <c r="B146" s="38" t="str">
        <f>IF(ISBLANK(Discharged!B146),"",Discharged!B146)</f>
        <v/>
      </c>
      <c r="C146" s="39" t="str">
        <f>IF(ISBLANK(Discharged!C146),"",CONCATENATE(Discharged!C146,", ",Discharged!D146))</f>
        <v/>
      </c>
      <c r="D146" s="38" t="str">
        <f>IF(ISBLANK(Discharged!E146),"",Discharged!E146)</f>
        <v/>
      </c>
      <c r="E146" s="38" t="str">
        <f>IF(ISBLANK(Discharged!F146),"",Discharged!F146)</f>
        <v/>
      </c>
      <c r="F146" s="39" t="str">
        <f>IF(ISBLANK(Discharged!H146),"",Discharged!H146)</f>
        <v/>
      </c>
      <c r="G146" s="38" t="str">
        <f>IF(ISBLANK(Discharged!K146),"",Discharged!K146)</f>
        <v/>
      </c>
      <c r="H146" s="38" t="str">
        <f>IF(ISBLANK(Discharged!M146),"",Discharged!M146)</f>
        <v/>
      </c>
      <c r="I146" s="35" t="str">
        <f t="shared" si="5"/>
        <v/>
      </c>
    </row>
    <row r="147" spans="1:9" ht="143.25" customHeight="1">
      <c r="A147" s="35" t="str">
        <f t="shared" si="4"/>
        <v/>
      </c>
      <c r="B147" s="38" t="str">
        <f>IF(ISBLANK(Discharged!B147),"",Discharged!B147)</f>
        <v/>
      </c>
      <c r="C147" s="39" t="str">
        <f>IF(ISBLANK(Discharged!C147),"",CONCATENATE(Discharged!C147,", ",Discharged!D147))</f>
        <v/>
      </c>
      <c r="D147" s="38" t="str">
        <f>IF(ISBLANK(Discharged!E147),"",Discharged!E147)</f>
        <v/>
      </c>
      <c r="E147" s="38" t="str">
        <f>IF(ISBLANK(Discharged!F147),"",Discharged!F147)</f>
        <v/>
      </c>
      <c r="F147" s="39" t="str">
        <f>IF(ISBLANK(Discharged!H147),"",Discharged!H147)</f>
        <v/>
      </c>
      <c r="G147" s="38" t="str">
        <f>IF(ISBLANK(Discharged!K147),"",Discharged!K147)</f>
        <v/>
      </c>
      <c r="H147" s="38" t="str">
        <f>IF(ISBLANK(Discharged!M147),"",Discharged!M147)</f>
        <v/>
      </c>
      <c r="I147" s="35" t="str">
        <f t="shared" si="5"/>
        <v/>
      </c>
    </row>
    <row r="148" spans="1:9" ht="143.25" customHeight="1">
      <c r="A148" s="35" t="str">
        <f t="shared" si="4"/>
        <v/>
      </c>
      <c r="B148" s="38" t="str">
        <f>IF(ISBLANK(Discharged!B148),"",Discharged!B148)</f>
        <v/>
      </c>
      <c r="C148" s="39" t="str">
        <f>IF(ISBLANK(Discharged!C148),"",CONCATENATE(Discharged!C148,", ",Discharged!D148))</f>
        <v/>
      </c>
      <c r="D148" s="38" t="str">
        <f>IF(ISBLANK(Discharged!E148),"",Discharged!E148)</f>
        <v/>
      </c>
      <c r="E148" s="38" t="str">
        <f>IF(ISBLANK(Discharged!F148),"",Discharged!F148)</f>
        <v/>
      </c>
      <c r="F148" s="39" t="str">
        <f>IF(ISBLANK(Discharged!H148),"",Discharged!H148)</f>
        <v/>
      </c>
      <c r="G148" s="38" t="str">
        <f>IF(ISBLANK(Discharged!K148),"",Discharged!K148)</f>
        <v/>
      </c>
      <c r="H148" s="38" t="str">
        <f>IF(ISBLANK(Discharged!M148),"",Discharged!M148)</f>
        <v/>
      </c>
      <c r="I148" s="35" t="str">
        <f t="shared" si="5"/>
        <v/>
      </c>
    </row>
    <row r="149" spans="1:9" ht="143.25" customHeight="1">
      <c r="A149" s="35" t="str">
        <f t="shared" si="4"/>
        <v/>
      </c>
      <c r="B149" s="38" t="str">
        <f>IF(ISBLANK(Discharged!B149),"",Discharged!B149)</f>
        <v/>
      </c>
      <c r="C149" s="39" t="str">
        <f>IF(ISBLANK(Discharged!C149),"",CONCATENATE(Discharged!C149,", ",Discharged!D149))</f>
        <v/>
      </c>
      <c r="D149" s="38" t="str">
        <f>IF(ISBLANK(Discharged!E149),"",Discharged!E149)</f>
        <v/>
      </c>
      <c r="E149" s="38" t="str">
        <f>IF(ISBLANK(Discharged!F149),"",Discharged!F149)</f>
        <v/>
      </c>
      <c r="F149" s="39" t="str">
        <f>IF(ISBLANK(Discharged!H149),"",Discharged!H149)</f>
        <v/>
      </c>
      <c r="G149" s="38" t="str">
        <f>IF(ISBLANK(Discharged!K149),"",Discharged!K149)</f>
        <v/>
      </c>
      <c r="H149" s="38" t="str">
        <f>IF(ISBLANK(Discharged!M149),"",Discharged!M149)</f>
        <v/>
      </c>
      <c r="I149" s="35" t="str">
        <f t="shared" si="5"/>
        <v/>
      </c>
    </row>
    <row r="150" spans="1:9" ht="143.25" customHeight="1">
      <c r="A150" s="35" t="str">
        <f t="shared" si="4"/>
        <v/>
      </c>
      <c r="B150" s="38" t="str">
        <f>IF(ISBLANK(Discharged!B150),"",Discharged!B150)</f>
        <v/>
      </c>
      <c r="C150" s="39" t="str">
        <f>IF(ISBLANK(Discharged!C150),"",CONCATENATE(Discharged!C150,", ",Discharged!D150))</f>
        <v/>
      </c>
      <c r="D150" s="38" t="str">
        <f>IF(ISBLANK(Discharged!E150),"",Discharged!E150)</f>
        <v/>
      </c>
      <c r="E150" s="38" t="str">
        <f>IF(ISBLANK(Discharged!F150),"",Discharged!F150)</f>
        <v/>
      </c>
      <c r="F150" s="39" t="str">
        <f>IF(ISBLANK(Discharged!H150),"",Discharged!H150)</f>
        <v/>
      </c>
      <c r="G150" s="38" t="str">
        <f>IF(ISBLANK(Discharged!K150),"",Discharged!K150)</f>
        <v/>
      </c>
      <c r="H150" s="38" t="str">
        <f>IF(ISBLANK(Discharged!M150),"",Discharged!M150)</f>
        <v/>
      </c>
      <c r="I150" s="35" t="str">
        <f t="shared" si="5"/>
        <v/>
      </c>
    </row>
    <row r="151" spans="1:9" ht="143.25" customHeight="1">
      <c r="A151" s="35" t="str">
        <f t="shared" si="4"/>
        <v/>
      </c>
      <c r="B151" s="38" t="str">
        <f>IF(ISBLANK(Discharged!B151),"",Discharged!B151)</f>
        <v/>
      </c>
      <c r="C151" s="39" t="str">
        <f>IF(ISBLANK(Discharged!C151),"",CONCATENATE(Discharged!C151,", ",Discharged!D151))</f>
        <v/>
      </c>
      <c r="D151" s="38" t="str">
        <f>IF(ISBLANK(Discharged!E151),"",Discharged!E151)</f>
        <v/>
      </c>
      <c r="E151" s="38" t="str">
        <f>IF(ISBLANK(Discharged!F151),"",Discharged!F151)</f>
        <v/>
      </c>
      <c r="F151" s="39" t="str">
        <f>IF(ISBLANK(Discharged!H151),"",Discharged!H151)</f>
        <v/>
      </c>
      <c r="G151" s="38" t="str">
        <f>IF(ISBLANK(Discharged!K151),"",Discharged!K151)</f>
        <v/>
      </c>
      <c r="H151" s="38" t="str">
        <f>IF(ISBLANK(Discharged!M151),"",Discharged!M151)</f>
        <v/>
      </c>
      <c r="I151" s="35" t="str">
        <f t="shared" si="5"/>
        <v/>
      </c>
    </row>
    <row r="152" spans="1:9" ht="143.25" customHeight="1">
      <c r="A152" s="35" t="str">
        <f t="shared" si="4"/>
        <v/>
      </c>
      <c r="B152" s="38" t="str">
        <f>IF(ISBLANK(Discharged!B152),"",Discharged!B152)</f>
        <v/>
      </c>
      <c r="C152" s="39" t="str">
        <f>IF(ISBLANK(Discharged!C152),"",CONCATENATE(Discharged!C152,", ",Discharged!D152))</f>
        <v/>
      </c>
      <c r="D152" s="38" t="str">
        <f>IF(ISBLANK(Discharged!E152),"",Discharged!E152)</f>
        <v/>
      </c>
      <c r="E152" s="38" t="str">
        <f>IF(ISBLANK(Discharged!F152),"",Discharged!F152)</f>
        <v/>
      </c>
      <c r="F152" s="39" t="str">
        <f>IF(ISBLANK(Discharged!H152),"",Discharged!H152)</f>
        <v/>
      </c>
      <c r="G152" s="38" t="str">
        <f>IF(ISBLANK(Discharged!K152),"",Discharged!K152)</f>
        <v/>
      </c>
      <c r="H152" s="38" t="str">
        <f>IF(ISBLANK(Discharged!M152),"",Discharged!M152)</f>
        <v/>
      </c>
      <c r="I152" s="35" t="str">
        <f t="shared" si="5"/>
        <v/>
      </c>
    </row>
    <row r="153" spans="1:9" ht="143.25" customHeight="1">
      <c r="A153" s="35" t="str">
        <f t="shared" si="4"/>
        <v/>
      </c>
      <c r="B153" s="38" t="str">
        <f>IF(ISBLANK(Discharged!B153),"",Discharged!B153)</f>
        <v/>
      </c>
      <c r="C153" s="39" t="str">
        <f>IF(ISBLANK(Discharged!C153),"",CONCATENATE(Discharged!C153,", ",Discharged!D153))</f>
        <v/>
      </c>
      <c r="D153" s="38" t="str">
        <f>IF(ISBLANK(Discharged!E153),"",Discharged!E153)</f>
        <v/>
      </c>
      <c r="E153" s="38" t="str">
        <f>IF(ISBLANK(Discharged!F153),"",Discharged!F153)</f>
        <v/>
      </c>
      <c r="F153" s="39" t="str">
        <f>IF(ISBLANK(Discharged!H153),"",Discharged!H153)</f>
        <v/>
      </c>
      <c r="G153" s="38" t="str">
        <f>IF(ISBLANK(Discharged!K153),"",Discharged!K153)</f>
        <v/>
      </c>
      <c r="H153" s="38" t="str">
        <f>IF(ISBLANK(Discharged!M153),"",Discharged!M153)</f>
        <v/>
      </c>
      <c r="I153" s="35" t="str">
        <f t="shared" si="5"/>
        <v/>
      </c>
    </row>
    <row r="154" spans="1:9" ht="143.25" customHeight="1">
      <c r="A154" s="35" t="str">
        <f t="shared" si="4"/>
        <v/>
      </c>
      <c r="B154" s="38" t="str">
        <f>IF(ISBLANK(Discharged!B154),"",Discharged!B154)</f>
        <v/>
      </c>
      <c r="C154" s="39" t="str">
        <f>IF(ISBLANK(Discharged!C154),"",CONCATENATE(Discharged!C154,", ",Discharged!D154))</f>
        <v/>
      </c>
      <c r="D154" s="38" t="str">
        <f>IF(ISBLANK(Discharged!E154),"",Discharged!E154)</f>
        <v/>
      </c>
      <c r="E154" s="38" t="str">
        <f>IF(ISBLANK(Discharged!F154),"",Discharged!F154)</f>
        <v/>
      </c>
      <c r="F154" s="39" t="str">
        <f>IF(ISBLANK(Discharged!H154),"",Discharged!H154)</f>
        <v/>
      </c>
      <c r="G154" s="38" t="str">
        <f>IF(ISBLANK(Discharged!K154),"",Discharged!K154)</f>
        <v/>
      </c>
      <c r="H154" s="38" t="str">
        <f>IF(ISBLANK(Discharged!M154),"",Discharged!M154)</f>
        <v/>
      </c>
      <c r="I154" s="35" t="str">
        <f t="shared" si="5"/>
        <v/>
      </c>
    </row>
    <row r="155" spans="1:9" ht="143.25" customHeight="1">
      <c r="A155" s="35" t="str">
        <f t="shared" si="4"/>
        <v/>
      </c>
      <c r="B155" s="38" t="str">
        <f>IF(ISBLANK(Discharged!B155),"",Discharged!B155)</f>
        <v/>
      </c>
      <c r="C155" s="39" t="str">
        <f>IF(ISBLANK(Discharged!C155),"",CONCATENATE(Discharged!C155,", ",Discharged!D155))</f>
        <v/>
      </c>
      <c r="D155" s="38" t="str">
        <f>IF(ISBLANK(Discharged!E155),"",Discharged!E155)</f>
        <v/>
      </c>
      <c r="E155" s="38" t="str">
        <f>IF(ISBLANK(Discharged!F155),"",Discharged!F155)</f>
        <v/>
      </c>
      <c r="F155" s="39" t="str">
        <f>IF(ISBLANK(Discharged!H155),"",Discharged!H155)</f>
        <v/>
      </c>
      <c r="G155" s="38" t="str">
        <f>IF(ISBLANK(Discharged!K155),"",Discharged!K155)</f>
        <v/>
      </c>
      <c r="H155" s="38" t="str">
        <f>IF(ISBLANK(Discharged!M155),"",Discharged!M155)</f>
        <v/>
      </c>
      <c r="I155" s="35" t="str">
        <f t="shared" si="5"/>
        <v/>
      </c>
    </row>
    <row r="156" spans="1:9" ht="143.25" customHeight="1">
      <c r="A156" s="35" t="str">
        <f t="shared" si="4"/>
        <v/>
      </c>
      <c r="B156" s="38" t="str">
        <f>IF(ISBLANK(Discharged!B156),"",Discharged!B156)</f>
        <v/>
      </c>
      <c r="C156" s="39" t="str">
        <f>IF(ISBLANK(Discharged!C156),"",CONCATENATE(Discharged!C156,", ",Discharged!D156))</f>
        <v/>
      </c>
      <c r="D156" s="38" t="str">
        <f>IF(ISBLANK(Discharged!E156),"",Discharged!E156)</f>
        <v/>
      </c>
      <c r="E156" s="38" t="str">
        <f>IF(ISBLANK(Discharged!F156),"",Discharged!F156)</f>
        <v/>
      </c>
      <c r="F156" s="39" t="str">
        <f>IF(ISBLANK(Discharged!H156),"",Discharged!H156)</f>
        <v/>
      </c>
      <c r="G156" s="38" t="str">
        <f>IF(ISBLANK(Discharged!K156),"",Discharged!K156)</f>
        <v/>
      </c>
      <c r="H156" s="38" t="str">
        <f>IF(ISBLANK(Discharged!M156),"",Discharged!M156)</f>
        <v/>
      </c>
      <c r="I156" s="35" t="str">
        <f t="shared" si="5"/>
        <v/>
      </c>
    </row>
    <row r="157" spans="1:9" ht="143.25" customHeight="1">
      <c r="A157" s="35" t="str">
        <f t="shared" si="4"/>
        <v/>
      </c>
      <c r="B157" s="38" t="str">
        <f>IF(ISBLANK(Discharged!B157),"",Discharged!B157)</f>
        <v/>
      </c>
      <c r="C157" s="39" t="str">
        <f>IF(ISBLANK(Discharged!C157),"",CONCATENATE(Discharged!C157,", ",Discharged!D157))</f>
        <v/>
      </c>
      <c r="D157" s="38" t="str">
        <f>IF(ISBLANK(Discharged!E157),"",Discharged!E157)</f>
        <v/>
      </c>
      <c r="E157" s="38" t="str">
        <f>IF(ISBLANK(Discharged!F157),"",Discharged!F157)</f>
        <v/>
      </c>
      <c r="F157" s="39" t="str">
        <f>IF(ISBLANK(Discharged!H157),"",Discharged!H157)</f>
        <v/>
      </c>
      <c r="G157" s="38" t="str">
        <f>IF(ISBLANK(Discharged!K157),"",Discharged!K157)</f>
        <v/>
      </c>
      <c r="H157" s="38" t="str">
        <f>IF(ISBLANK(Discharged!M157),"",Discharged!M157)</f>
        <v/>
      </c>
      <c r="I157" s="35" t="str">
        <f t="shared" si="5"/>
        <v/>
      </c>
    </row>
    <row r="158" spans="1:9" ht="143.25" customHeight="1">
      <c r="A158" s="35" t="str">
        <f t="shared" si="4"/>
        <v/>
      </c>
      <c r="B158" s="38" t="str">
        <f>IF(ISBLANK(Discharged!B158),"",Discharged!B158)</f>
        <v/>
      </c>
      <c r="C158" s="39" t="str">
        <f>IF(ISBLANK(Discharged!C158),"",CONCATENATE(Discharged!C158,", ",Discharged!D158))</f>
        <v/>
      </c>
      <c r="D158" s="38" t="str">
        <f>IF(ISBLANK(Discharged!E158),"",Discharged!E158)</f>
        <v/>
      </c>
      <c r="E158" s="38" t="str">
        <f>IF(ISBLANK(Discharged!F158),"",Discharged!F158)</f>
        <v/>
      </c>
      <c r="F158" s="39" t="str">
        <f>IF(ISBLANK(Discharged!H158),"",Discharged!H158)</f>
        <v/>
      </c>
      <c r="G158" s="38" t="str">
        <f>IF(ISBLANK(Discharged!K158),"",Discharged!K158)</f>
        <v/>
      </c>
      <c r="H158" s="38" t="str">
        <f>IF(ISBLANK(Discharged!M158),"",Discharged!M158)</f>
        <v/>
      </c>
      <c r="I158" s="35" t="str">
        <f t="shared" si="5"/>
        <v/>
      </c>
    </row>
    <row r="159" spans="1:9" ht="143.25" customHeight="1">
      <c r="A159" s="35" t="str">
        <f t="shared" si="4"/>
        <v/>
      </c>
      <c r="B159" s="38" t="str">
        <f>IF(ISBLANK(Discharged!B159),"",Discharged!B159)</f>
        <v/>
      </c>
      <c r="C159" s="39" t="str">
        <f>IF(ISBLANK(Discharged!C159),"",CONCATENATE(Discharged!C159,", ",Discharged!D159))</f>
        <v/>
      </c>
      <c r="D159" s="38" t="str">
        <f>IF(ISBLANK(Discharged!E159),"",Discharged!E159)</f>
        <v/>
      </c>
      <c r="E159" s="38" t="str">
        <f>IF(ISBLANK(Discharged!F159),"",Discharged!F159)</f>
        <v/>
      </c>
      <c r="F159" s="39" t="str">
        <f>IF(ISBLANK(Discharged!H159),"",Discharged!H159)</f>
        <v/>
      </c>
      <c r="G159" s="38" t="str">
        <f>IF(ISBLANK(Discharged!K159),"",Discharged!K159)</f>
        <v/>
      </c>
      <c r="H159" s="38" t="str">
        <f>IF(ISBLANK(Discharged!M159),"",Discharged!M159)</f>
        <v/>
      </c>
      <c r="I159" s="35" t="str">
        <f t="shared" si="5"/>
        <v/>
      </c>
    </row>
    <row r="160" spans="1:9" ht="143.25" customHeight="1">
      <c r="A160" s="35" t="str">
        <f t="shared" si="4"/>
        <v/>
      </c>
      <c r="B160" s="38" t="str">
        <f>IF(ISBLANK(Discharged!B160),"",Discharged!B160)</f>
        <v/>
      </c>
      <c r="C160" s="39" t="str">
        <f>IF(ISBLANK(Discharged!C160),"",CONCATENATE(Discharged!C160,", ",Discharged!D160))</f>
        <v/>
      </c>
      <c r="D160" s="38" t="str">
        <f>IF(ISBLANK(Discharged!E160),"",Discharged!E160)</f>
        <v/>
      </c>
      <c r="E160" s="38" t="str">
        <f>IF(ISBLANK(Discharged!F160),"",Discharged!F160)</f>
        <v/>
      </c>
      <c r="F160" s="39" t="str">
        <f>IF(ISBLANK(Discharged!H160),"",Discharged!H160)</f>
        <v/>
      </c>
      <c r="G160" s="38" t="str">
        <f>IF(ISBLANK(Discharged!K160),"",Discharged!K160)</f>
        <v/>
      </c>
      <c r="H160" s="38" t="str">
        <f>IF(ISBLANK(Discharged!M160),"",Discharged!M160)</f>
        <v/>
      </c>
      <c r="I160" s="35" t="str">
        <f t="shared" si="5"/>
        <v/>
      </c>
    </row>
    <row r="161" spans="1:9" ht="143.25" customHeight="1">
      <c r="A161" s="35" t="str">
        <f t="shared" si="4"/>
        <v/>
      </c>
      <c r="B161" s="38" t="str">
        <f>IF(ISBLANK(Discharged!B161),"",Discharged!B161)</f>
        <v/>
      </c>
      <c r="C161" s="39" t="str">
        <f>IF(ISBLANK(Discharged!C161),"",CONCATENATE(Discharged!C161,", ",Discharged!D161))</f>
        <v/>
      </c>
      <c r="D161" s="38" t="str">
        <f>IF(ISBLANK(Discharged!E161),"",Discharged!E161)</f>
        <v/>
      </c>
      <c r="E161" s="38" t="str">
        <f>IF(ISBLANK(Discharged!F161),"",Discharged!F161)</f>
        <v/>
      </c>
      <c r="F161" s="39" t="str">
        <f>IF(ISBLANK(Discharged!H161),"",Discharged!H161)</f>
        <v/>
      </c>
      <c r="G161" s="38" t="str">
        <f>IF(ISBLANK(Discharged!K161),"",Discharged!K161)</f>
        <v/>
      </c>
      <c r="H161" s="38" t="str">
        <f>IF(ISBLANK(Discharged!M161),"",Discharged!M161)</f>
        <v/>
      </c>
      <c r="I161" s="35" t="str">
        <f t="shared" si="5"/>
        <v/>
      </c>
    </row>
    <row r="162" spans="1:9" ht="143.25" customHeight="1">
      <c r="A162" s="35" t="str">
        <f t="shared" si="4"/>
        <v/>
      </c>
      <c r="B162" s="38" t="str">
        <f>IF(ISBLANK(Discharged!B162),"",Discharged!B162)</f>
        <v/>
      </c>
      <c r="C162" s="39" t="str">
        <f>IF(ISBLANK(Discharged!C162),"",CONCATENATE(Discharged!C162,", ",Discharged!D162))</f>
        <v/>
      </c>
      <c r="D162" s="38" t="str">
        <f>IF(ISBLANK(Discharged!E162),"",Discharged!E162)</f>
        <v/>
      </c>
      <c r="E162" s="38" t="str">
        <f>IF(ISBLANK(Discharged!F162),"",Discharged!F162)</f>
        <v/>
      </c>
      <c r="F162" s="39" t="str">
        <f>IF(ISBLANK(Discharged!H162),"",Discharged!H162)</f>
        <v/>
      </c>
      <c r="G162" s="38" t="str">
        <f>IF(ISBLANK(Discharged!K162),"",Discharged!K162)</f>
        <v/>
      </c>
      <c r="H162" s="38" t="str">
        <f>IF(ISBLANK(Discharged!M162),"",Discharged!M162)</f>
        <v/>
      </c>
      <c r="I162" s="35" t="str">
        <f t="shared" si="5"/>
        <v/>
      </c>
    </row>
    <row r="163" spans="1:9" ht="143.25" customHeight="1">
      <c r="A163" s="35" t="str">
        <f t="shared" si="4"/>
        <v/>
      </c>
      <c r="B163" s="38" t="str">
        <f>IF(ISBLANK(Discharged!B163),"",Discharged!B163)</f>
        <v/>
      </c>
      <c r="C163" s="39" t="str">
        <f>IF(ISBLANK(Discharged!C163),"",CONCATENATE(Discharged!C163,", ",Discharged!D163))</f>
        <v/>
      </c>
      <c r="D163" s="38" t="str">
        <f>IF(ISBLANK(Discharged!E163),"",Discharged!E163)</f>
        <v/>
      </c>
      <c r="E163" s="38" t="str">
        <f>IF(ISBLANK(Discharged!F163),"",Discharged!F163)</f>
        <v/>
      </c>
      <c r="F163" s="39" t="str">
        <f>IF(ISBLANK(Discharged!H163),"",Discharged!H163)</f>
        <v/>
      </c>
      <c r="G163" s="38" t="str">
        <f>IF(ISBLANK(Discharged!K163),"",Discharged!K163)</f>
        <v/>
      </c>
      <c r="H163" s="38" t="str">
        <f>IF(ISBLANK(Discharged!M163),"",Discharged!M163)</f>
        <v/>
      </c>
      <c r="I163" s="35" t="str">
        <f t="shared" si="5"/>
        <v/>
      </c>
    </row>
    <row r="164" spans="1:9" ht="143.25" customHeight="1">
      <c r="A164" s="35" t="str">
        <f t="shared" si="4"/>
        <v/>
      </c>
      <c r="B164" s="38" t="str">
        <f>IF(ISBLANK(Discharged!B164),"",Discharged!B164)</f>
        <v/>
      </c>
      <c r="C164" s="39" t="str">
        <f>IF(ISBLANK(Discharged!C164),"",CONCATENATE(Discharged!C164,", ",Discharged!D164))</f>
        <v/>
      </c>
      <c r="D164" s="38" t="str">
        <f>IF(ISBLANK(Discharged!E164),"",Discharged!E164)</f>
        <v/>
      </c>
      <c r="E164" s="38" t="str">
        <f>IF(ISBLANK(Discharged!F164),"",Discharged!F164)</f>
        <v/>
      </c>
      <c r="F164" s="39" t="str">
        <f>IF(ISBLANK(Discharged!H164),"",Discharged!H164)</f>
        <v/>
      </c>
      <c r="G164" s="38" t="str">
        <f>IF(ISBLANK(Discharged!K164),"",Discharged!K164)</f>
        <v/>
      </c>
      <c r="H164" s="38" t="str">
        <f>IF(ISBLANK(Discharged!M164),"",Discharged!M164)</f>
        <v/>
      </c>
      <c r="I164" s="35" t="str">
        <f t="shared" si="5"/>
        <v/>
      </c>
    </row>
    <row r="165" spans="1:9" ht="143.25" customHeight="1">
      <c r="A165" s="35" t="str">
        <f t="shared" si="4"/>
        <v/>
      </c>
      <c r="B165" s="38" t="str">
        <f>IF(ISBLANK(Discharged!B165),"",Discharged!B165)</f>
        <v/>
      </c>
      <c r="C165" s="39" t="str">
        <f>IF(ISBLANK(Discharged!C165),"",CONCATENATE(Discharged!C165,", ",Discharged!D165))</f>
        <v/>
      </c>
      <c r="D165" s="38" t="str">
        <f>IF(ISBLANK(Discharged!E165),"",Discharged!E165)</f>
        <v/>
      </c>
      <c r="E165" s="38" t="str">
        <f>IF(ISBLANK(Discharged!F165),"",Discharged!F165)</f>
        <v/>
      </c>
      <c r="F165" s="39" t="str">
        <f>IF(ISBLANK(Discharged!H165),"",Discharged!H165)</f>
        <v/>
      </c>
      <c r="G165" s="38" t="str">
        <f>IF(ISBLANK(Discharged!K165),"",Discharged!K165)</f>
        <v/>
      </c>
      <c r="H165" s="38" t="str">
        <f>IF(ISBLANK(Discharged!M165),"",Discharged!M165)</f>
        <v/>
      </c>
      <c r="I165" s="35" t="str">
        <f t="shared" si="5"/>
        <v/>
      </c>
    </row>
    <row r="166" spans="1:9" ht="143.25" customHeight="1">
      <c r="A166" s="35" t="str">
        <f t="shared" si="4"/>
        <v/>
      </c>
      <c r="B166" s="38" t="str">
        <f>IF(ISBLANK(Discharged!B166),"",Discharged!B166)</f>
        <v/>
      </c>
      <c r="C166" s="39" t="str">
        <f>IF(ISBLANK(Discharged!C166),"",CONCATENATE(Discharged!C166,", ",Discharged!D166))</f>
        <v/>
      </c>
      <c r="D166" s="38" t="str">
        <f>IF(ISBLANK(Discharged!E166),"",Discharged!E166)</f>
        <v/>
      </c>
      <c r="E166" s="38" t="str">
        <f>IF(ISBLANK(Discharged!F166),"",Discharged!F166)</f>
        <v/>
      </c>
      <c r="F166" s="39" t="str">
        <f>IF(ISBLANK(Discharged!H166),"",Discharged!H166)</f>
        <v/>
      </c>
      <c r="G166" s="38" t="str">
        <f>IF(ISBLANK(Discharged!K166),"",Discharged!K166)</f>
        <v/>
      </c>
      <c r="H166" s="38" t="str">
        <f>IF(ISBLANK(Discharged!M166),"",Discharged!M166)</f>
        <v/>
      </c>
      <c r="I166" s="35" t="str">
        <f t="shared" si="5"/>
        <v/>
      </c>
    </row>
    <row r="167" spans="1:9" ht="143.25" customHeight="1">
      <c r="A167" s="35" t="str">
        <f t="shared" si="4"/>
        <v/>
      </c>
      <c r="B167" s="38" t="str">
        <f>IF(ISBLANK(Discharged!B167),"",Discharged!B167)</f>
        <v/>
      </c>
      <c r="C167" s="39" t="str">
        <f>IF(ISBLANK(Discharged!C167),"",CONCATENATE(Discharged!C167,", ",Discharged!D167))</f>
        <v/>
      </c>
      <c r="D167" s="38" t="str">
        <f>IF(ISBLANK(Discharged!E167),"",Discharged!E167)</f>
        <v/>
      </c>
      <c r="E167" s="38" t="str">
        <f>IF(ISBLANK(Discharged!F167),"",Discharged!F167)</f>
        <v/>
      </c>
      <c r="F167" s="39" t="str">
        <f>IF(ISBLANK(Discharged!H167),"",Discharged!H167)</f>
        <v/>
      </c>
      <c r="G167" s="38" t="str">
        <f>IF(ISBLANK(Discharged!K167),"",Discharged!K167)</f>
        <v/>
      </c>
      <c r="H167" s="38" t="str">
        <f>IF(ISBLANK(Discharged!M167),"",Discharged!M167)</f>
        <v/>
      </c>
      <c r="I167" s="35" t="str">
        <f t="shared" si="5"/>
        <v/>
      </c>
    </row>
    <row r="168" spans="1:9" ht="143.25" customHeight="1">
      <c r="A168" s="35" t="str">
        <f t="shared" si="4"/>
        <v/>
      </c>
      <c r="B168" s="38" t="str">
        <f>IF(ISBLANK(Discharged!B168),"",Discharged!B168)</f>
        <v/>
      </c>
      <c r="C168" s="39" t="str">
        <f>IF(ISBLANK(Discharged!C168),"",CONCATENATE(Discharged!C168,", ",Discharged!D168))</f>
        <v/>
      </c>
      <c r="D168" s="38" t="str">
        <f>IF(ISBLANK(Discharged!E168),"",Discharged!E168)</f>
        <v/>
      </c>
      <c r="E168" s="38" t="str">
        <f>IF(ISBLANK(Discharged!F168),"",Discharged!F168)</f>
        <v/>
      </c>
      <c r="F168" s="39" t="str">
        <f>IF(ISBLANK(Discharged!H168),"",Discharged!H168)</f>
        <v/>
      </c>
      <c r="G168" s="38" t="str">
        <f>IF(ISBLANK(Discharged!K168),"",Discharged!K168)</f>
        <v/>
      </c>
      <c r="H168" s="38" t="str">
        <f>IF(ISBLANK(Discharged!M168),"",Discharged!M168)</f>
        <v/>
      </c>
      <c r="I168" s="35" t="str">
        <f t="shared" si="5"/>
        <v/>
      </c>
    </row>
    <row r="169" spans="1:9" ht="143.25" customHeight="1">
      <c r="A169" s="35" t="str">
        <f t="shared" si="4"/>
        <v/>
      </c>
      <c r="B169" s="38" t="str">
        <f>IF(ISBLANK(Discharged!B169),"",Discharged!B169)</f>
        <v/>
      </c>
      <c r="C169" s="39" t="str">
        <f>IF(ISBLANK(Discharged!C169),"",CONCATENATE(Discharged!C169,", ",Discharged!D169))</f>
        <v/>
      </c>
      <c r="D169" s="38" t="str">
        <f>IF(ISBLANK(Discharged!E169),"",Discharged!E169)</f>
        <v/>
      </c>
      <c r="E169" s="38" t="str">
        <f>IF(ISBLANK(Discharged!F169),"",Discharged!F169)</f>
        <v/>
      </c>
      <c r="F169" s="39" t="str">
        <f>IF(ISBLANK(Discharged!H169),"",Discharged!H169)</f>
        <v/>
      </c>
      <c r="G169" s="38" t="str">
        <f>IF(ISBLANK(Discharged!K169),"",Discharged!K169)</f>
        <v/>
      </c>
      <c r="H169" s="38" t="str">
        <f>IF(ISBLANK(Discharged!M169),"",Discharged!M169)</f>
        <v/>
      </c>
      <c r="I169" s="35" t="str">
        <f t="shared" si="5"/>
        <v/>
      </c>
    </row>
    <row r="170" spans="1:9" ht="143.25" customHeight="1">
      <c r="A170" s="35" t="str">
        <f t="shared" si="4"/>
        <v/>
      </c>
      <c r="B170" s="38" t="str">
        <f>IF(ISBLANK(Discharged!B170),"",Discharged!B170)</f>
        <v/>
      </c>
      <c r="C170" s="39" t="str">
        <f>IF(ISBLANK(Discharged!C170),"",CONCATENATE(Discharged!C170,", ",Discharged!D170))</f>
        <v/>
      </c>
      <c r="D170" s="38" t="str">
        <f>IF(ISBLANK(Discharged!E170),"",Discharged!E170)</f>
        <v/>
      </c>
      <c r="E170" s="38" t="str">
        <f>IF(ISBLANK(Discharged!F170),"",Discharged!F170)</f>
        <v/>
      </c>
      <c r="F170" s="39" t="str">
        <f>IF(ISBLANK(Discharged!H170),"",Discharged!H170)</f>
        <v/>
      </c>
      <c r="G170" s="38" t="str">
        <f>IF(ISBLANK(Discharged!K170),"",Discharged!K170)</f>
        <v/>
      </c>
      <c r="H170" s="38" t="str">
        <f>IF(ISBLANK(Discharged!M170),"",Discharged!M170)</f>
        <v/>
      </c>
      <c r="I170" s="35" t="str">
        <f t="shared" si="5"/>
        <v/>
      </c>
    </row>
    <row r="171" spans="1:9" ht="143.25" customHeight="1">
      <c r="A171" s="35" t="str">
        <f t="shared" si="4"/>
        <v/>
      </c>
      <c r="B171" s="38" t="str">
        <f>IF(ISBLANK(Discharged!B171),"",Discharged!B171)</f>
        <v/>
      </c>
      <c r="C171" s="39" t="str">
        <f>IF(ISBLANK(Discharged!C171),"",CONCATENATE(Discharged!C171,", ",Discharged!D171))</f>
        <v/>
      </c>
      <c r="D171" s="38" t="str">
        <f>IF(ISBLANK(Discharged!E171),"",Discharged!E171)</f>
        <v/>
      </c>
      <c r="E171" s="38" t="str">
        <f>IF(ISBLANK(Discharged!F171),"",Discharged!F171)</f>
        <v/>
      </c>
      <c r="F171" s="39" t="str">
        <f>IF(ISBLANK(Discharged!H171),"",Discharged!H171)</f>
        <v/>
      </c>
      <c r="G171" s="38" t="str">
        <f>IF(ISBLANK(Discharged!K171),"",Discharged!K171)</f>
        <v/>
      </c>
      <c r="H171" s="38" t="str">
        <f>IF(ISBLANK(Discharged!M171),"",Discharged!M171)</f>
        <v/>
      </c>
      <c r="I171" s="35" t="str">
        <f t="shared" si="5"/>
        <v/>
      </c>
    </row>
    <row r="172" spans="1:9" ht="143.25" customHeight="1">
      <c r="A172" s="35" t="str">
        <f t="shared" si="4"/>
        <v/>
      </c>
      <c r="B172" s="38" t="str">
        <f>IF(ISBLANK(Discharged!B172),"",Discharged!B172)</f>
        <v/>
      </c>
      <c r="C172" s="39" t="str">
        <f>IF(ISBLANK(Discharged!C172),"",CONCATENATE(Discharged!C172,", ",Discharged!D172))</f>
        <v/>
      </c>
      <c r="D172" s="38" t="str">
        <f>IF(ISBLANK(Discharged!E172),"",Discharged!E172)</f>
        <v/>
      </c>
      <c r="E172" s="38" t="str">
        <f>IF(ISBLANK(Discharged!F172),"",Discharged!F172)</f>
        <v/>
      </c>
      <c r="F172" s="39" t="str">
        <f>IF(ISBLANK(Discharged!H172),"",Discharged!H172)</f>
        <v/>
      </c>
      <c r="G172" s="38" t="str">
        <f>IF(ISBLANK(Discharged!K172),"",Discharged!K172)</f>
        <v/>
      </c>
      <c r="H172" s="38" t="str">
        <f>IF(ISBLANK(Discharged!M172),"",Discharged!M172)</f>
        <v/>
      </c>
      <c r="I172" s="35" t="str">
        <f t="shared" si="5"/>
        <v/>
      </c>
    </row>
    <row r="173" spans="1:9" ht="143.25" customHeight="1">
      <c r="A173" s="35" t="str">
        <f t="shared" si="4"/>
        <v/>
      </c>
      <c r="B173" s="38" t="str">
        <f>IF(ISBLANK(Discharged!B173),"",Discharged!B173)</f>
        <v/>
      </c>
      <c r="C173" s="39" t="str">
        <f>IF(ISBLANK(Discharged!C173),"",CONCATENATE(Discharged!C173,", ",Discharged!D173))</f>
        <v/>
      </c>
      <c r="D173" s="38" t="str">
        <f>IF(ISBLANK(Discharged!E173),"",Discharged!E173)</f>
        <v/>
      </c>
      <c r="E173" s="38" t="str">
        <f>IF(ISBLANK(Discharged!F173),"",Discharged!F173)</f>
        <v/>
      </c>
      <c r="F173" s="39" t="str">
        <f>IF(ISBLANK(Discharged!H173),"",Discharged!H173)</f>
        <v/>
      </c>
      <c r="G173" s="38" t="str">
        <f>IF(ISBLANK(Discharged!K173),"",Discharged!K173)</f>
        <v/>
      </c>
      <c r="H173" s="38" t="str">
        <f>IF(ISBLANK(Discharged!M173),"",Discharged!M173)</f>
        <v/>
      </c>
      <c r="I173" s="35" t="str">
        <f t="shared" si="5"/>
        <v/>
      </c>
    </row>
    <row r="174" spans="1:9" ht="143.25" customHeight="1">
      <c r="A174" s="35" t="str">
        <f t="shared" si="4"/>
        <v/>
      </c>
      <c r="B174" s="38" t="str">
        <f>IF(ISBLANK(Discharged!B174),"",Discharged!B174)</f>
        <v/>
      </c>
      <c r="C174" s="39" t="str">
        <f>IF(ISBLANK(Discharged!C174),"",CONCATENATE(Discharged!C174,", ",Discharged!D174))</f>
        <v/>
      </c>
      <c r="D174" s="38" t="str">
        <f>IF(ISBLANK(Discharged!E174),"",Discharged!E174)</f>
        <v/>
      </c>
      <c r="E174" s="38" t="str">
        <f>IF(ISBLANK(Discharged!F174),"",Discharged!F174)</f>
        <v/>
      </c>
      <c r="F174" s="39" t="str">
        <f>IF(ISBLANK(Discharged!H174),"",Discharged!H174)</f>
        <v/>
      </c>
      <c r="G174" s="38" t="str">
        <f>IF(ISBLANK(Discharged!K174),"",Discharged!K174)</f>
        <v/>
      </c>
      <c r="H174" s="38" t="str">
        <f>IF(ISBLANK(Discharged!M174),"",Discharged!M174)</f>
        <v/>
      </c>
      <c r="I174" s="35" t="str">
        <f t="shared" si="5"/>
        <v/>
      </c>
    </row>
    <row r="175" spans="1:9" ht="143.25" customHeight="1">
      <c r="A175" s="35" t="str">
        <f t="shared" si="4"/>
        <v/>
      </c>
      <c r="B175" s="38" t="str">
        <f>IF(ISBLANK(Discharged!B175),"",Discharged!B175)</f>
        <v/>
      </c>
      <c r="C175" s="39" t="str">
        <f>IF(ISBLANK(Discharged!C175),"",CONCATENATE(Discharged!C175,", ",Discharged!D175))</f>
        <v/>
      </c>
      <c r="D175" s="38" t="str">
        <f>IF(ISBLANK(Discharged!E175),"",Discharged!E175)</f>
        <v/>
      </c>
      <c r="E175" s="38" t="str">
        <f>IF(ISBLANK(Discharged!F175),"",Discharged!F175)</f>
        <v/>
      </c>
      <c r="F175" s="39" t="str">
        <f>IF(ISBLANK(Discharged!H175),"",Discharged!H175)</f>
        <v/>
      </c>
      <c r="G175" s="38" t="str">
        <f>IF(ISBLANK(Discharged!K175),"",Discharged!K175)</f>
        <v/>
      </c>
      <c r="H175" s="38" t="str">
        <f>IF(ISBLANK(Discharged!M175),"",Discharged!M175)</f>
        <v/>
      </c>
      <c r="I175" s="35" t="str">
        <f t="shared" si="5"/>
        <v/>
      </c>
    </row>
    <row r="176" spans="1:9" ht="143.25" customHeight="1">
      <c r="A176" s="35" t="str">
        <f t="shared" si="4"/>
        <v/>
      </c>
      <c r="B176" s="38" t="str">
        <f>IF(ISBLANK(Discharged!B176),"",Discharged!B176)</f>
        <v/>
      </c>
      <c r="C176" s="39" t="str">
        <f>IF(ISBLANK(Discharged!C176),"",CONCATENATE(Discharged!C176,", ",Discharged!D176))</f>
        <v/>
      </c>
      <c r="D176" s="38" t="str">
        <f>IF(ISBLANK(Discharged!E176),"",Discharged!E176)</f>
        <v/>
      </c>
      <c r="E176" s="38" t="str">
        <f>IF(ISBLANK(Discharged!F176),"",Discharged!F176)</f>
        <v/>
      </c>
      <c r="F176" s="39" t="str">
        <f>IF(ISBLANK(Discharged!H176),"",Discharged!H176)</f>
        <v/>
      </c>
      <c r="G176" s="38" t="str">
        <f>IF(ISBLANK(Discharged!K176),"",Discharged!K176)</f>
        <v/>
      </c>
      <c r="H176" s="38" t="str">
        <f>IF(ISBLANK(Discharged!M176),"",Discharged!M176)</f>
        <v/>
      </c>
      <c r="I176" s="35" t="str">
        <f t="shared" si="5"/>
        <v/>
      </c>
    </row>
    <row r="177" spans="1:9" ht="143.25" customHeight="1">
      <c r="A177" s="35" t="str">
        <f t="shared" si="4"/>
        <v/>
      </c>
      <c r="B177" s="38" t="str">
        <f>IF(ISBLANK(Discharged!B177),"",Discharged!B177)</f>
        <v/>
      </c>
      <c r="C177" s="39" t="str">
        <f>IF(ISBLANK(Discharged!C177),"",CONCATENATE(Discharged!C177,", ",Discharged!D177))</f>
        <v/>
      </c>
      <c r="D177" s="38" t="str">
        <f>IF(ISBLANK(Discharged!E177),"",Discharged!E177)</f>
        <v/>
      </c>
      <c r="E177" s="38" t="str">
        <f>IF(ISBLANK(Discharged!F177),"",Discharged!F177)</f>
        <v/>
      </c>
      <c r="F177" s="39" t="str">
        <f>IF(ISBLANK(Discharged!H177),"",Discharged!H177)</f>
        <v/>
      </c>
      <c r="G177" s="38" t="str">
        <f>IF(ISBLANK(Discharged!K177),"",Discharged!K177)</f>
        <v/>
      </c>
      <c r="H177" s="38" t="str">
        <f>IF(ISBLANK(Discharged!M177),"",Discharged!M177)</f>
        <v/>
      </c>
      <c r="I177" s="35" t="str">
        <f t="shared" si="5"/>
        <v/>
      </c>
    </row>
    <row r="178" spans="1:9" ht="143.25" customHeight="1">
      <c r="A178" s="35" t="str">
        <f t="shared" si="4"/>
        <v/>
      </c>
      <c r="B178" s="38" t="str">
        <f>IF(ISBLANK(Discharged!B178),"",Discharged!B178)</f>
        <v/>
      </c>
      <c r="C178" s="39" t="str">
        <f>IF(ISBLANK(Discharged!C178),"",CONCATENATE(Discharged!C178,", ",Discharged!D178))</f>
        <v/>
      </c>
      <c r="D178" s="38" t="str">
        <f>IF(ISBLANK(Discharged!E178),"",Discharged!E178)</f>
        <v/>
      </c>
      <c r="E178" s="38" t="str">
        <f>IF(ISBLANK(Discharged!F178),"",Discharged!F178)</f>
        <v/>
      </c>
      <c r="F178" s="39" t="str">
        <f>IF(ISBLANK(Discharged!H178),"",Discharged!H178)</f>
        <v/>
      </c>
      <c r="G178" s="38" t="str">
        <f>IF(ISBLANK(Discharged!K178),"",Discharged!K178)</f>
        <v/>
      </c>
      <c r="H178" s="38" t="str">
        <f>IF(ISBLANK(Discharged!M178),"",Discharged!M178)</f>
        <v/>
      </c>
      <c r="I178" s="35" t="str">
        <f t="shared" si="5"/>
        <v/>
      </c>
    </row>
    <row r="179" spans="1:9" ht="143.25" customHeight="1">
      <c r="A179" s="35" t="str">
        <f t="shared" si="4"/>
        <v/>
      </c>
      <c r="B179" s="38" t="str">
        <f>IF(ISBLANK(Discharged!B179),"",Discharged!B179)</f>
        <v/>
      </c>
      <c r="C179" s="39" t="str">
        <f>IF(ISBLANK(Discharged!C179),"",CONCATENATE(Discharged!C179,", ",Discharged!D179))</f>
        <v/>
      </c>
      <c r="D179" s="38" t="str">
        <f>IF(ISBLANK(Discharged!E179),"",Discharged!E179)</f>
        <v/>
      </c>
      <c r="E179" s="38" t="str">
        <f>IF(ISBLANK(Discharged!F179),"",Discharged!F179)</f>
        <v/>
      </c>
      <c r="F179" s="39" t="str">
        <f>IF(ISBLANK(Discharged!H179),"",Discharged!H179)</f>
        <v/>
      </c>
      <c r="G179" s="38" t="str">
        <f>IF(ISBLANK(Discharged!K179),"",Discharged!K179)</f>
        <v/>
      </c>
      <c r="H179" s="38" t="str">
        <f>IF(ISBLANK(Discharged!M179),"",Discharged!M179)</f>
        <v/>
      </c>
      <c r="I179" s="35" t="str">
        <f t="shared" si="5"/>
        <v/>
      </c>
    </row>
    <row r="180" spans="1:9" ht="143.25" customHeight="1">
      <c r="A180" s="35" t="str">
        <f t="shared" si="4"/>
        <v/>
      </c>
      <c r="B180" s="38" t="str">
        <f>IF(ISBLANK(Discharged!B180),"",Discharged!B180)</f>
        <v/>
      </c>
      <c r="C180" s="39" t="str">
        <f>IF(ISBLANK(Discharged!C180),"",CONCATENATE(Discharged!C180,", ",Discharged!D180))</f>
        <v/>
      </c>
      <c r="D180" s="38" t="str">
        <f>IF(ISBLANK(Discharged!E180),"",Discharged!E180)</f>
        <v/>
      </c>
      <c r="E180" s="38" t="str">
        <f>IF(ISBLANK(Discharged!F180),"",Discharged!F180)</f>
        <v/>
      </c>
      <c r="F180" s="39" t="str">
        <f>IF(ISBLANK(Discharged!H180),"",Discharged!H180)</f>
        <v/>
      </c>
      <c r="G180" s="38" t="str">
        <f>IF(ISBLANK(Discharged!K180),"",Discharged!K180)</f>
        <v/>
      </c>
      <c r="H180" s="38" t="str">
        <f>IF(ISBLANK(Discharged!M180),"",Discharged!M180)</f>
        <v/>
      </c>
      <c r="I180" s="35" t="str">
        <f t="shared" si="5"/>
        <v/>
      </c>
    </row>
    <row r="181" spans="1:9" ht="143.25" customHeight="1">
      <c r="A181" s="35" t="str">
        <f t="shared" si="4"/>
        <v/>
      </c>
      <c r="B181" s="38" t="str">
        <f>IF(ISBLANK(Discharged!B181),"",Discharged!B181)</f>
        <v/>
      </c>
      <c r="C181" s="39" t="str">
        <f>IF(ISBLANK(Discharged!C181),"",CONCATENATE(Discharged!C181,", ",Discharged!D181))</f>
        <v/>
      </c>
      <c r="D181" s="38" t="str">
        <f>IF(ISBLANK(Discharged!E181),"",Discharged!E181)</f>
        <v/>
      </c>
      <c r="E181" s="38" t="str">
        <f>IF(ISBLANK(Discharged!F181),"",Discharged!F181)</f>
        <v/>
      </c>
      <c r="F181" s="39" t="str">
        <f>IF(ISBLANK(Discharged!H181),"",Discharged!H181)</f>
        <v/>
      </c>
      <c r="G181" s="38" t="str">
        <f>IF(ISBLANK(Discharged!K181),"",Discharged!K181)</f>
        <v/>
      </c>
      <c r="H181" s="38" t="str">
        <f>IF(ISBLANK(Discharged!M181),"",Discharged!M181)</f>
        <v/>
      </c>
      <c r="I181" s="35" t="str">
        <f t="shared" si="5"/>
        <v/>
      </c>
    </row>
    <row r="182" spans="1:9" ht="143.25" customHeight="1">
      <c r="A182" s="35" t="str">
        <f t="shared" si="4"/>
        <v/>
      </c>
      <c r="B182" s="38" t="str">
        <f>IF(ISBLANK(Discharged!B182),"",Discharged!B182)</f>
        <v/>
      </c>
      <c r="C182" s="39" t="str">
        <f>IF(ISBLANK(Discharged!C182),"",CONCATENATE(Discharged!C182,", ",Discharged!D182))</f>
        <v/>
      </c>
      <c r="D182" s="38" t="str">
        <f>IF(ISBLANK(Discharged!E182),"",Discharged!E182)</f>
        <v/>
      </c>
      <c r="E182" s="38" t="str">
        <f>IF(ISBLANK(Discharged!F182),"",Discharged!F182)</f>
        <v/>
      </c>
      <c r="F182" s="39" t="str">
        <f>IF(ISBLANK(Discharged!H182),"",Discharged!H182)</f>
        <v/>
      </c>
      <c r="G182" s="38" t="str">
        <f>IF(ISBLANK(Discharged!K182),"",Discharged!K182)</f>
        <v/>
      </c>
      <c r="H182" s="38" t="str">
        <f>IF(ISBLANK(Discharged!M182),"",Discharged!M182)</f>
        <v/>
      </c>
      <c r="I182" s="35" t="str">
        <f t="shared" si="5"/>
        <v/>
      </c>
    </row>
    <row r="183" spans="1:9" ht="143.25" customHeight="1">
      <c r="A183" s="35" t="str">
        <f t="shared" si="4"/>
        <v/>
      </c>
      <c r="B183" s="38" t="str">
        <f>IF(ISBLANK(Discharged!B183),"",Discharged!B183)</f>
        <v/>
      </c>
      <c r="C183" s="39" t="str">
        <f>IF(ISBLANK(Discharged!C183),"",CONCATENATE(Discharged!C183,", ",Discharged!D183))</f>
        <v/>
      </c>
      <c r="D183" s="38" t="str">
        <f>IF(ISBLANK(Discharged!E183),"",Discharged!E183)</f>
        <v/>
      </c>
      <c r="E183" s="38" t="str">
        <f>IF(ISBLANK(Discharged!F183),"",Discharged!F183)</f>
        <v/>
      </c>
      <c r="F183" s="39" t="str">
        <f>IF(ISBLANK(Discharged!H183),"",Discharged!H183)</f>
        <v/>
      </c>
      <c r="G183" s="38" t="str">
        <f>IF(ISBLANK(Discharged!K183),"",Discharged!K183)</f>
        <v/>
      </c>
      <c r="H183" s="38" t="str">
        <f>IF(ISBLANK(Discharged!M183),"",Discharged!M183)</f>
        <v/>
      </c>
      <c r="I183" s="35" t="str">
        <f t="shared" si="5"/>
        <v/>
      </c>
    </row>
    <row r="184" spans="1:9" ht="143.25" customHeight="1">
      <c r="A184" s="35" t="str">
        <f t="shared" si="4"/>
        <v/>
      </c>
      <c r="B184" s="38" t="str">
        <f>IF(ISBLANK(Discharged!B184),"",Discharged!B184)</f>
        <v/>
      </c>
      <c r="C184" s="39" t="str">
        <f>IF(ISBLANK(Discharged!C184),"",CONCATENATE(Discharged!C184,", ",Discharged!D184))</f>
        <v/>
      </c>
      <c r="D184" s="38" t="str">
        <f>IF(ISBLANK(Discharged!E184),"",Discharged!E184)</f>
        <v/>
      </c>
      <c r="E184" s="38" t="str">
        <f>IF(ISBLANK(Discharged!F184),"",Discharged!F184)</f>
        <v/>
      </c>
      <c r="F184" s="39" t="str">
        <f>IF(ISBLANK(Discharged!H184),"",Discharged!H184)</f>
        <v/>
      </c>
      <c r="G184" s="38" t="str">
        <f>IF(ISBLANK(Discharged!K184),"",Discharged!K184)</f>
        <v/>
      </c>
      <c r="H184" s="38" t="str">
        <f>IF(ISBLANK(Discharged!M184),"",Discharged!M184)</f>
        <v/>
      </c>
      <c r="I184" s="35" t="str">
        <f t="shared" si="5"/>
        <v/>
      </c>
    </row>
    <row r="185" spans="1:9" ht="143.25" customHeight="1">
      <c r="A185" s="35" t="str">
        <f t="shared" si="4"/>
        <v/>
      </c>
      <c r="B185" s="38" t="str">
        <f>IF(ISBLANK(Discharged!B185),"",Discharged!B185)</f>
        <v/>
      </c>
      <c r="C185" s="39" t="str">
        <f>IF(ISBLANK(Discharged!C185),"",CONCATENATE(Discharged!C185,", ",Discharged!D185))</f>
        <v/>
      </c>
      <c r="D185" s="38" t="str">
        <f>IF(ISBLANK(Discharged!E185),"",Discharged!E185)</f>
        <v/>
      </c>
      <c r="E185" s="38" t="str">
        <f>IF(ISBLANK(Discharged!F185),"",Discharged!F185)</f>
        <v/>
      </c>
      <c r="F185" s="39" t="str">
        <f>IF(ISBLANK(Discharged!H185),"",Discharged!H185)</f>
        <v/>
      </c>
      <c r="G185" s="38" t="str">
        <f>IF(ISBLANK(Discharged!K185),"",Discharged!K185)</f>
        <v/>
      </c>
      <c r="H185" s="38" t="str">
        <f>IF(ISBLANK(Discharged!M185),"",Discharged!M185)</f>
        <v/>
      </c>
      <c r="I185" s="35" t="str">
        <f t="shared" si="5"/>
        <v/>
      </c>
    </row>
    <row r="186" spans="1:9" ht="143.25" customHeight="1">
      <c r="A186" s="35" t="str">
        <f t="shared" si="4"/>
        <v/>
      </c>
      <c r="B186" s="38" t="str">
        <f>IF(ISBLANK(Discharged!B186),"",Discharged!B186)</f>
        <v/>
      </c>
      <c r="C186" s="39" t="str">
        <f>IF(ISBLANK(Discharged!C186),"",CONCATENATE(Discharged!C186,", ",Discharged!D186))</f>
        <v/>
      </c>
      <c r="D186" s="38" t="str">
        <f>IF(ISBLANK(Discharged!E186),"",Discharged!E186)</f>
        <v/>
      </c>
      <c r="E186" s="38" t="str">
        <f>IF(ISBLANK(Discharged!F186),"",Discharged!F186)</f>
        <v/>
      </c>
      <c r="F186" s="39" t="str">
        <f>IF(ISBLANK(Discharged!H186),"",Discharged!H186)</f>
        <v/>
      </c>
      <c r="G186" s="38" t="str">
        <f>IF(ISBLANK(Discharged!K186),"",Discharged!K186)</f>
        <v/>
      </c>
      <c r="H186" s="38" t="str">
        <f>IF(ISBLANK(Discharged!M186),"",Discharged!M186)</f>
        <v/>
      </c>
      <c r="I186" s="35" t="str">
        <f t="shared" si="5"/>
        <v/>
      </c>
    </row>
    <row r="187" spans="1:9" ht="143.25" customHeight="1">
      <c r="A187" s="35" t="str">
        <f t="shared" si="4"/>
        <v/>
      </c>
      <c r="B187" s="38" t="str">
        <f>IF(ISBLANK(Discharged!B187),"",Discharged!B187)</f>
        <v/>
      </c>
      <c r="C187" s="39" t="str">
        <f>IF(ISBLANK(Discharged!C187),"",CONCATENATE(Discharged!C187,", ",Discharged!D187))</f>
        <v/>
      </c>
      <c r="D187" s="38" t="str">
        <f>IF(ISBLANK(Discharged!E187),"",Discharged!E187)</f>
        <v/>
      </c>
      <c r="E187" s="38" t="str">
        <f>IF(ISBLANK(Discharged!F187),"",Discharged!F187)</f>
        <v/>
      </c>
      <c r="F187" s="39" t="str">
        <f>IF(ISBLANK(Discharged!H187),"",Discharged!H187)</f>
        <v/>
      </c>
      <c r="G187" s="38" t="str">
        <f>IF(ISBLANK(Discharged!K187),"",Discharged!K187)</f>
        <v/>
      </c>
      <c r="H187" s="38" t="str">
        <f>IF(ISBLANK(Discharged!M187),"",Discharged!M187)</f>
        <v/>
      </c>
      <c r="I187" s="35" t="str">
        <f t="shared" si="5"/>
        <v/>
      </c>
    </row>
    <row r="188" spans="1:9" ht="143.25" customHeight="1">
      <c r="A188" s="35" t="str">
        <f t="shared" si="4"/>
        <v/>
      </c>
      <c r="B188" s="38" t="str">
        <f>IF(ISBLANK(Discharged!B188),"",Discharged!B188)</f>
        <v/>
      </c>
      <c r="C188" s="39" t="str">
        <f>IF(ISBLANK(Discharged!C188),"",CONCATENATE(Discharged!C188,", ",Discharged!D188))</f>
        <v/>
      </c>
      <c r="D188" s="38" t="str">
        <f>IF(ISBLANK(Discharged!E188),"",Discharged!E188)</f>
        <v/>
      </c>
      <c r="E188" s="38" t="str">
        <f>IF(ISBLANK(Discharged!F188),"",Discharged!F188)</f>
        <v/>
      </c>
      <c r="F188" s="39" t="str">
        <f>IF(ISBLANK(Discharged!H188),"",Discharged!H188)</f>
        <v/>
      </c>
      <c r="G188" s="38" t="str">
        <f>IF(ISBLANK(Discharged!K188),"",Discharged!K188)</f>
        <v/>
      </c>
      <c r="H188" s="38" t="str">
        <f>IF(ISBLANK(Discharged!M188),"",Discharged!M188)</f>
        <v/>
      </c>
      <c r="I188" s="35" t="str">
        <f t="shared" si="5"/>
        <v/>
      </c>
    </row>
    <row r="189" spans="1:9" ht="143.25" customHeight="1">
      <c r="A189" s="35" t="str">
        <f t="shared" si="4"/>
        <v/>
      </c>
      <c r="B189" s="38" t="str">
        <f>IF(ISBLANK(Discharged!B189),"",Discharged!B189)</f>
        <v/>
      </c>
      <c r="C189" s="39" t="str">
        <f>IF(ISBLANK(Discharged!C189),"",CONCATENATE(Discharged!C189,", ",Discharged!D189))</f>
        <v/>
      </c>
      <c r="D189" s="38" t="str">
        <f>IF(ISBLANK(Discharged!E189),"",Discharged!E189)</f>
        <v/>
      </c>
      <c r="E189" s="38" t="str">
        <f>IF(ISBLANK(Discharged!F189),"",Discharged!F189)</f>
        <v/>
      </c>
      <c r="F189" s="39" t="str">
        <f>IF(ISBLANK(Discharged!H189),"",Discharged!H189)</f>
        <v/>
      </c>
      <c r="G189" s="38" t="str">
        <f>IF(ISBLANK(Discharged!K189),"",Discharged!K189)</f>
        <v/>
      </c>
      <c r="H189" s="38" t="str">
        <f>IF(ISBLANK(Discharged!M189),"",Discharged!M189)</f>
        <v/>
      </c>
      <c r="I189" s="35" t="str">
        <f t="shared" si="5"/>
        <v/>
      </c>
    </row>
    <row r="190" spans="1:9" ht="143.25" customHeight="1">
      <c r="A190" s="35" t="str">
        <f t="shared" si="4"/>
        <v/>
      </c>
      <c r="B190" s="38" t="str">
        <f>IF(ISBLANK(Discharged!B190),"",Discharged!B190)</f>
        <v/>
      </c>
      <c r="C190" s="39" t="str">
        <f>IF(ISBLANK(Discharged!C190),"",CONCATENATE(Discharged!C190,", ",Discharged!D190))</f>
        <v/>
      </c>
      <c r="D190" s="38" t="str">
        <f>IF(ISBLANK(Discharged!E190),"",Discharged!E190)</f>
        <v/>
      </c>
      <c r="E190" s="38" t="str">
        <f>IF(ISBLANK(Discharged!F190),"",Discharged!F190)</f>
        <v/>
      </c>
      <c r="F190" s="39" t="str">
        <f>IF(ISBLANK(Discharged!H190),"",Discharged!H190)</f>
        <v/>
      </c>
      <c r="G190" s="38" t="str">
        <f>IF(ISBLANK(Discharged!K190),"",Discharged!K190)</f>
        <v/>
      </c>
      <c r="H190" s="38" t="str">
        <f>IF(ISBLANK(Discharged!M190),"",Discharged!M190)</f>
        <v/>
      </c>
      <c r="I190" s="35" t="str">
        <f t="shared" si="5"/>
        <v/>
      </c>
    </row>
    <row r="191" spans="1:9" ht="143.25" customHeight="1">
      <c r="A191" s="35" t="str">
        <f t="shared" si="4"/>
        <v/>
      </c>
      <c r="B191" s="38" t="str">
        <f>IF(ISBLANK(Discharged!B191),"",Discharged!B191)</f>
        <v/>
      </c>
      <c r="C191" s="39" t="str">
        <f>IF(ISBLANK(Discharged!C191),"",CONCATENATE(Discharged!C191,", ",Discharged!D191))</f>
        <v/>
      </c>
      <c r="D191" s="38" t="str">
        <f>IF(ISBLANK(Discharged!E191),"",Discharged!E191)</f>
        <v/>
      </c>
      <c r="E191" s="38" t="str">
        <f>IF(ISBLANK(Discharged!F191),"",Discharged!F191)</f>
        <v/>
      </c>
      <c r="F191" s="39" t="str">
        <f>IF(ISBLANK(Discharged!H191),"",Discharged!H191)</f>
        <v/>
      </c>
      <c r="G191" s="38" t="str">
        <f>IF(ISBLANK(Discharged!K191),"",Discharged!K191)</f>
        <v/>
      </c>
      <c r="H191" s="38" t="str">
        <f>IF(ISBLANK(Discharged!M191),"",Discharged!M191)</f>
        <v/>
      </c>
      <c r="I191" s="35" t="str">
        <f t="shared" si="5"/>
        <v/>
      </c>
    </row>
    <row r="192" spans="1:9" ht="143.25" customHeight="1">
      <c r="A192" s="35" t="str">
        <f t="shared" si="4"/>
        <v/>
      </c>
      <c r="B192" s="38" t="str">
        <f>IF(ISBLANK(Discharged!B192),"",Discharged!B192)</f>
        <v/>
      </c>
      <c r="C192" s="39" t="str">
        <f>IF(ISBLANK(Discharged!C192),"",CONCATENATE(Discharged!C192,", ",Discharged!D192))</f>
        <v/>
      </c>
      <c r="D192" s="38" t="str">
        <f>IF(ISBLANK(Discharged!E192),"",Discharged!E192)</f>
        <v/>
      </c>
      <c r="E192" s="38" t="str">
        <f>IF(ISBLANK(Discharged!F192),"",Discharged!F192)</f>
        <v/>
      </c>
      <c r="F192" s="39" t="str">
        <f>IF(ISBLANK(Discharged!H192),"",Discharged!H192)</f>
        <v/>
      </c>
      <c r="G192" s="38" t="str">
        <f>IF(ISBLANK(Discharged!K192),"",Discharged!K192)</f>
        <v/>
      </c>
      <c r="H192" s="38" t="str">
        <f>IF(ISBLANK(Discharged!M192),"",Discharged!M192)</f>
        <v/>
      </c>
      <c r="I192" s="35" t="str">
        <f t="shared" si="5"/>
        <v/>
      </c>
    </row>
    <row r="193" spans="1:9" ht="143.25" customHeight="1">
      <c r="A193" s="35" t="str">
        <f t="shared" si="4"/>
        <v/>
      </c>
      <c r="B193" s="38" t="str">
        <f>IF(ISBLANK(Discharged!B193),"",Discharged!B193)</f>
        <v/>
      </c>
      <c r="C193" s="39" t="str">
        <f>IF(ISBLANK(Discharged!C193),"",CONCATENATE(Discharged!C193,", ",Discharged!D193))</f>
        <v/>
      </c>
      <c r="D193" s="38" t="str">
        <f>IF(ISBLANK(Discharged!E193),"",Discharged!E193)</f>
        <v/>
      </c>
      <c r="E193" s="38" t="str">
        <f>IF(ISBLANK(Discharged!F193),"",Discharged!F193)</f>
        <v/>
      </c>
      <c r="F193" s="39" t="str">
        <f>IF(ISBLANK(Discharged!H193),"",Discharged!H193)</f>
        <v/>
      </c>
      <c r="G193" s="38" t="str">
        <f>IF(ISBLANK(Discharged!K193),"",Discharged!K193)</f>
        <v/>
      </c>
      <c r="H193" s="38" t="str">
        <f>IF(ISBLANK(Discharged!M193),"",Discharged!M193)</f>
        <v/>
      </c>
      <c r="I193" s="35" t="str">
        <f t="shared" si="5"/>
        <v/>
      </c>
    </row>
    <row r="194" spans="1:9" ht="143.25" customHeight="1">
      <c r="A194" s="35" t="str">
        <f t="shared" ref="A194:A257" si="6">IF(B194="","",CONCATENATE("*",B194,"*"))</f>
        <v/>
      </c>
      <c r="B194" s="38" t="str">
        <f>IF(ISBLANK(Discharged!B194),"",Discharged!B194)</f>
        <v/>
      </c>
      <c r="C194" s="39" t="str">
        <f>IF(ISBLANK(Discharged!C194),"",CONCATENATE(Discharged!C194,", ",Discharged!D194))</f>
        <v/>
      </c>
      <c r="D194" s="38" t="str">
        <f>IF(ISBLANK(Discharged!E194),"",Discharged!E194)</f>
        <v/>
      </c>
      <c r="E194" s="38" t="str">
        <f>IF(ISBLANK(Discharged!F194),"",Discharged!F194)</f>
        <v/>
      </c>
      <c r="F194" s="39" t="str">
        <f>IF(ISBLANK(Discharged!H194),"",Discharged!H194)</f>
        <v/>
      </c>
      <c r="G194" s="38" t="str">
        <f>IF(ISBLANK(Discharged!K194),"",Discharged!K194)</f>
        <v/>
      </c>
      <c r="H194" s="38" t="str">
        <f>IF(ISBLANK(Discharged!M194),"",Discharged!M194)</f>
        <v/>
      </c>
      <c r="I194" s="35" t="str">
        <f t="shared" ref="I194:I257" si="7">IF(D194="","",CONCATENATE("*",D194,"*"))</f>
        <v/>
      </c>
    </row>
    <row r="195" spans="1:9" ht="143.25" customHeight="1">
      <c r="A195" s="35" t="str">
        <f t="shared" si="6"/>
        <v/>
      </c>
      <c r="B195" s="38" t="str">
        <f>IF(ISBLANK(Discharged!B195),"",Discharged!B195)</f>
        <v/>
      </c>
      <c r="C195" s="39" t="str">
        <f>IF(ISBLANK(Discharged!C195),"",CONCATENATE(Discharged!C195,", ",Discharged!D195))</f>
        <v/>
      </c>
      <c r="D195" s="38" t="str">
        <f>IF(ISBLANK(Discharged!E195),"",Discharged!E195)</f>
        <v/>
      </c>
      <c r="E195" s="38" t="str">
        <f>IF(ISBLANK(Discharged!F195),"",Discharged!F195)</f>
        <v/>
      </c>
      <c r="F195" s="39" t="str">
        <f>IF(ISBLANK(Discharged!H195),"",Discharged!H195)</f>
        <v/>
      </c>
      <c r="G195" s="38" t="str">
        <f>IF(ISBLANK(Discharged!K195),"",Discharged!K195)</f>
        <v/>
      </c>
      <c r="H195" s="38" t="str">
        <f>IF(ISBLANK(Discharged!M195),"",Discharged!M195)</f>
        <v/>
      </c>
      <c r="I195" s="35" t="str">
        <f t="shared" si="7"/>
        <v/>
      </c>
    </row>
    <row r="196" spans="1:9" ht="143.25" customHeight="1">
      <c r="A196" s="35" t="str">
        <f t="shared" si="6"/>
        <v/>
      </c>
      <c r="B196" s="38" t="str">
        <f>IF(ISBLANK(Discharged!B196),"",Discharged!B196)</f>
        <v/>
      </c>
      <c r="C196" s="39" t="str">
        <f>IF(ISBLANK(Discharged!C196),"",CONCATENATE(Discharged!C196,", ",Discharged!D196))</f>
        <v/>
      </c>
      <c r="D196" s="38" t="str">
        <f>IF(ISBLANK(Discharged!E196),"",Discharged!E196)</f>
        <v/>
      </c>
      <c r="E196" s="38" t="str">
        <f>IF(ISBLANK(Discharged!F196),"",Discharged!F196)</f>
        <v/>
      </c>
      <c r="F196" s="39" t="str">
        <f>IF(ISBLANK(Discharged!H196),"",Discharged!H196)</f>
        <v/>
      </c>
      <c r="G196" s="38" t="str">
        <f>IF(ISBLANK(Discharged!K196),"",Discharged!K196)</f>
        <v/>
      </c>
      <c r="H196" s="38" t="str">
        <f>IF(ISBLANK(Discharged!M196),"",Discharged!M196)</f>
        <v/>
      </c>
      <c r="I196" s="35" t="str">
        <f t="shared" si="7"/>
        <v/>
      </c>
    </row>
    <row r="197" spans="1:9" ht="143.25" customHeight="1">
      <c r="A197" s="35" t="str">
        <f t="shared" si="6"/>
        <v/>
      </c>
      <c r="B197" s="38" t="str">
        <f>IF(ISBLANK(Discharged!B197),"",Discharged!B197)</f>
        <v/>
      </c>
      <c r="C197" s="39" t="str">
        <f>IF(ISBLANK(Discharged!C197),"",CONCATENATE(Discharged!C197,", ",Discharged!D197))</f>
        <v/>
      </c>
      <c r="D197" s="38" t="str">
        <f>IF(ISBLANK(Discharged!E197),"",Discharged!E197)</f>
        <v/>
      </c>
      <c r="E197" s="38" t="str">
        <f>IF(ISBLANK(Discharged!F197),"",Discharged!F197)</f>
        <v/>
      </c>
      <c r="F197" s="39" t="str">
        <f>IF(ISBLANK(Discharged!H197),"",Discharged!H197)</f>
        <v/>
      </c>
      <c r="G197" s="38" t="str">
        <f>IF(ISBLANK(Discharged!K197),"",Discharged!K197)</f>
        <v/>
      </c>
      <c r="H197" s="38" t="str">
        <f>IF(ISBLANK(Discharged!M197),"",Discharged!M197)</f>
        <v/>
      </c>
      <c r="I197" s="35" t="str">
        <f t="shared" si="7"/>
        <v/>
      </c>
    </row>
    <row r="198" spans="1:9" ht="143.25" customHeight="1">
      <c r="A198" s="35" t="str">
        <f t="shared" si="6"/>
        <v/>
      </c>
      <c r="B198" s="38" t="str">
        <f>IF(ISBLANK(Discharged!B198),"",Discharged!B198)</f>
        <v/>
      </c>
      <c r="C198" s="39" t="str">
        <f>IF(ISBLANK(Discharged!C198),"",CONCATENATE(Discharged!C198,", ",Discharged!D198))</f>
        <v/>
      </c>
      <c r="D198" s="38" t="str">
        <f>IF(ISBLANK(Discharged!E198),"",Discharged!E198)</f>
        <v/>
      </c>
      <c r="E198" s="38" t="str">
        <f>IF(ISBLANK(Discharged!F198),"",Discharged!F198)</f>
        <v/>
      </c>
      <c r="F198" s="39" t="str">
        <f>IF(ISBLANK(Discharged!H198),"",Discharged!H198)</f>
        <v/>
      </c>
      <c r="G198" s="38" t="str">
        <f>IF(ISBLANK(Discharged!K198),"",Discharged!K198)</f>
        <v/>
      </c>
      <c r="H198" s="38" t="str">
        <f>IF(ISBLANK(Discharged!M198),"",Discharged!M198)</f>
        <v/>
      </c>
      <c r="I198" s="35" t="str">
        <f t="shared" si="7"/>
        <v/>
      </c>
    </row>
    <row r="199" spans="1:9" ht="143.25" customHeight="1">
      <c r="A199" s="35" t="str">
        <f t="shared" si="6"/>
        <v/>
      </c>
      <c r="B199" s="38" t="str">
        <f>IF(ISBLANK(Discharged!B199),"",Discharged!B199)</f>
        <v/>
      </c>
      <c r="C199" s="39" t="str">
        <f>IF(ISBLANK(Discharged!C199),"",CONCATENATE(Discharged!C199,", ",Discharged!D199))</f>
        <v/>
      </c>
      <c r="D199" s="38" t="str">
        <f>IF(ISBLANK(Discharged!E199),"",Discharged!E199)</f>
        <v/>
      </c>
      <c r="E199" s="38" t="str">
        <f>IF(ISBLANK(Discharged!F199),"",Discharged!F199)</f>
        <v/>
      </c>
      <c r="F199" s="39" t="str">
        <f>IF(ISBLANK(Discharged!H199),"",Discharged!H199)</f>
        <v/>
      </c>
      <c r="G199" s="38" t="str">
        <f>IF(ISBLANK(Discharged!K199),"",Discharged!K199)</f>
        <v/>
      </c>
      <c r="H199" s="38" t="str">
        <f>IF(ISBLANK(Discharged!M199),"",Discharged!M199)</f>
        <v/>
      </c>
      <c r="I199" s="35" t="str">
        <f t="shared" si="7"/>
        <v/>
      </c>
    </row>
    <row r="200" spans="1:9" ht="143.25" customHeight="1">
      <c r="A200" s="35" t="str">
        <f t="shared" si="6"/>
        <v/>
      </c>
      <c r="B200" s="38" t="str">
        <f>IF(ISBLANK(Discharged!B200),"",Discharged!B200)</f>
        <v/>
      </c>
      <c r="C200" s="39" t="str">
        <f>IF(ISBLANK(Discharged!C200),"",CONCATENATE(Discharged!C200,", ",Discharged!D200))</f>
        <v/>
      </c>
      <c r="D200" s="38" t="str">
        <f>IF(ISBLANK(Discharged!E200),"",Discharged!E200)</f>
        <v/>
      </c>
      <c r="E200" s="38" t="str">
        <f>IF(ISBLANK(Discharged!F200),"",Discharged!F200)</f>
        <v/>
      </c>
      <c r="F200" s="39" t="str">
        <f>IF(ISBLANK(Discharged!H200),"",Discharged!H200)</f>
        <v/>
      </c>
      <c r="G200" s="38" t="str">
        <f>IF(ISBLANK(Discharged!K200),"",Discharged!K200)</f>
        <v/>
      </c>
      <c r="H200" s="38" t="str">
        <f>IF(ISBLANK(Discharged!M200),"",Discharged!M200)</f>
        <v/>
      </c>
      <c r="I200" s="35" t="str">
        <f t="shared" si="7"/>
        <v/>
      </c>
    </row>
    <row r="201" spans="1:9" ht="143.25" customHeight="1">
      <c r="A201" s="35" t="str">
        <f t="shared" si="6"/>
        <v/>
      </c>
      <c r="B201" s="38" t="str">
        <f>IF(ISBLANK(Discharged!B201),"",Discharged!B201)</f>
        <v/>
      </c>
      <c r="C201" s="39" t="str">
        <f>IF(ISBLANK(Discharged!C201),"",CONCATENATE(Discharged!C201,", ",Discharged!D201))</f>
        <v/>
      </c>
      <c r="D201" s="38" t="str">
        <f>IF(ISBLANK(Discharged!E201),"",Discharged!E201)</f>
        <v/>
      </c>
      <c r="E201" s="38" t="str">
        <f>IF(ISBLANK(Discharged!F201),"",Discharged!F201)</f>
        <v/>
      </c>
      <c r="F201" s="39" t="str">
        <f>IF(ISBLANK(Discharged!H201),"",Discharged!H201)</f>
        <v/>
      </c>
      <c r="G201" s="38" t="str">
        <f>IF(ISBLANK(Discharged!K201),"",Discharged!K201)</f>
        <v/>
      </c>
      <c r="H201" s="38" t="str">
        <f>IF(ISBLANK(Discharged!M201),"",Discharged!M201)</f>
        <v/>
      </c>
      <c r="I201" s="35" t="str">
        <f t="shared" si="7"/>
        <v/>
      </c>
    </row>
    <row r="202" spans="1:9" ht="143.25" customHeight="1">
      <c r="A202" s="35" t="str">
        <f t="shared" si="6"/>
        <v/>
      </c>
      <c r="B202" s="38" t="str">
        <f>IF(ISBLANK(Discharged!B202),"",Discharged!B202)</f>
        <v/>
      </c>
      <c r="C202" s="39" t="str">
        <f>IF(ISBLANK(Discharged!C202),"",CONCATENATE(Discharged!C202,", ",Discharged!D202))</f>
        <v/>
      </c>
      <c r="D202" s="38" t="str">
        <f>IF(ISBLANK(Discharged!E202),"",Discharged!E202)</f>
        <v/>
      </c>
      <c r="E202" s="38" t="str">
        <f>IF(ISBLANK(Discharged!F202),"",Discharged!F202)</f>
        <v/>
      </c>
      <c r="F202" s="39" t="str">
        <f>IF(ISBLANK(Discharged!H202),"",Discharged!H202)</f>
        <v/>
      </c>
      <c r="G202" s="38" t="str">
        <f>IF(ISBLANK(Discharged!K202),"",Discharged!K202)</f>
        <v/>
      </c>
      <c r="H202" s="38" t="str">
        <f>IF(ISBLANK(Discharged!M202),"",Discharged!M202)</f>
        <v/>
      </c>
      <c r="I202" s="35" t="str">
        <f t="shared" si="7"/>
        <v/>
      </c>
    </row>
    <row r="203" spans="1:9" ht="143.25" customHeight="1">
      <c r="A203" s="35" t="str">
        <f t="shared" si="6"/>
        <v/>
      </c>
      <c r="B203" s="38" t="str">
        <f>IF(ISBLANK(Discharged!B203),"",Discharged!B203)</f>
        <v/>
      </c>
      <c r="C203" s="39" t="str">
        <f>IF(ISBLANK(Discharged!C203),"",CONCATENATE(Discharged!C203,", ",Discharged!D203))</f>
        <v/>
      </c>
      <c r="D203" s="38" t="str">
        <f>IF(ISBLANK(Discharged!E203),"",Discharged!E203)</f>
        <v/>
      </c>
      <c r="E203" s="38" t="str">
        <f>IF(ISBLANK(Discharged!F203),"",Discharged!F203)</f>
        <v/>
      </c>
      <c r="F203" s="39" t="str">
        <f>IF(ISBLANK(Discharged!H203),"",Discharged!H203)</f>
        <v/>
      </c>
      <c r="G203" s="38" t="str">
        <f>IF(ISBLANK(Discharged!K203),"",Discharged!K203)</f>
        <v/>
      </c>
      <c r="H203" s="38" t="str">
        <f>IF(ISBLANK(Discharged!M203),"",Discharged!M203)</f>
        <v/>
      </c>
      <c r="I203" s="35" t="str">
        <f t="shared" si="7"/>
        <v/>
      </c>
    </row>
    <row r="204" spans="1:9" ht="143.25" customHeight="1">
      <c r="A204" s="35" t="str">
        <f t="shared" si="6"/>
        <v/>
      </c>
      <c r="B204" s="38" t="str">
        <f>IF(ISBLANK(Discharged!B204),"",Discharged!B204)</f>
        <v/>
      </c>
      <c r="C204" s="39" t="str">
        <f>IF(ISBLANK(Discharged!C204),"",CONCATENATE(Discharged!C204,", ",Discharged!D204))</f>
        <v/>
      </c>
      <c r="D204" s="38" t="str">
        <f>IF(ISBLANK(Discharged!E204),"",Discharged!E204)</f>
        <v/>
      </c>
      <c r="E204" s="38" t="str">
        <f>IF(ISBLANK(Discharged!F204),"",Discharged!F204)</f>
        <v/>
      </c>
      <c r="F204" s="39" t="str">
        <f>IF(ISBLANK(Discharged!H204),"",Discharged!H204)</f>
        <v/>
      </c>
      <c r="G204" s="38" t="str">
        <f>IF(ISBLANK(Discharged!K204),"",Discharged!K204)</f>
        <v/>
      </c>
      <c r="H204" s="38" t="str">
        <f>IF(ISBLANK(Discharged!M204),"",Discharged!M204)</f>
        <v/>
      </c>
      <c r="I204" s="35" t="str">
        <f t="shared" si="7"/>
        <v/>
      </c>
    </row>
    <row r="205" spans="1:9" ht="143.25" customHeight="1">
      <c r="A205" s="35" t="str">
        <f t="shared" si="6"/>
        <v/>
      </c>
      <c r="B205" s="38" t="str">
        <f>IF(ISBLANK(Discharged!B205),"",Discharged!B205)</f>
        <v/>
      </c>
      <c r="C205" s="39" t="str">
        <f>IF(ISBLANK(Discharged!C205),"",CONCATENATE(Discharged!C205,", ",Discharged!D205))</f>
        <v/>
      </c>
      <c r="D205" s="38" t="str">
        <f>IF(ISBLANK(Discharged!E205),"",Discharged!E205)</f>
        <v/>
      </c>
      <c r="E205" s="38" t="str">
        <f>IF(ISBLANK(Discharged!F205),"",Discharged!F205)</f>
        <v/>
      </c>
      <c r="F205" s="39" t="str">
        <f>IF(ISBLANK(Discharged!H205),"",Discharged!H205)</f>
        <v/>
      </c>
      <c r="G205" s="38" t="str">
        <f>IF(ISBLANK(Discharged!K205),"",Discharged!K205)</f>
        <v/>
      </c>
      <c r="H205" s="38" t="str">
        <f>IF(ISBLANK(Discharged!M205),"",Discharged!M205)</f>
        <v/>
      </c>
      <c r="I205" s="35" t="str">
        <f t="shared" si="7"/>
        <v/>
      </c>
    </row>
    <row r="206" spans="1:9" ht="143.25" customHeight="1">
      <c r="A206" s="35" t="str">
        <f t="shared" si="6"/>
        <v/>
      </c>
      <c r="B206" s="38" t="str">
        <f>IF(ISBLANK(Discharged!B206),"",Discharged!B206)</f>
        <v/>
      </c>
      <c r="C206" s="39" t="str">
        <f>IF(ISBLANK(Discharged!C206),"",CONCATENATE(Discharged!C206,", ",Discharged!D206))</f>
        <v/>
      </c>
      <c r="D206" s="38" t="str">
        <f>IF(ISBLANK(Discharged!E206),"",Discharged!E206)</f>
        <v/>
      </c>
      <c r="E206" s="38" t="str">
        <f>IF(ISBLANK(Discharged!F206),"",Discharged!F206)</f>
        <v/>
      </c>
      <c r="F206" s="39" t="str">
        <f>IF(ISBLANK(Discharged!H206),"",Discharged!H206)</f>
        <v/>
      </c>
      <c r="G206" s="38" t="str">
        <f>IF(ISBLANK(Discharged!K206),"",Discharged!K206)</f>
        <v/>
      </c>
      <c r="H206" s="38" t="str">
        <f>IF(ISBLANK(Discharged!M206),"",Discharged!M206)</f>
        <v/>
      </c>
      <c r="I206" s="35" t="str">
        <f t="shared" si="7"/>
        <v/>
      </c>
    </row>
    <row r="207" spans="1:9" ht="143.25" customHeight="1">
      <c r="A207" s="35" t="str">
        <f t="shared" si="6"/>
        <v/>
      </c>
      <c r="B207" s="38" t="str">
        <f>IF(ISBLANK(Discharged!B207),"",Discharged!B207)</f>
        <v/>
      </c>
      <c r="C207" s="39" t="str">
        <f>IF(ISBLANK(Discharged!C207),"",CONCATENATE(Discharged!C207,", ",Discharged!D207))</f>
        <v/>
      </c>
      <c r="D207" s="38" t="str">
        <f>IF(ISBLANK(Discharged!E207),"",Discharged!E207)</f>
        <v/>
      </c>
      <c r="E207" s="38" t="str">
        <f>IF(ISBLANK(Discharged!F207),"",Discharged!F207)</f>
        <v/>
      </c>
      <c r="F207" s="39" t="str">
        <f>IF(ISBLANK(Discharged!H207),"",Discharged!H207)</f>
        <v/>
      </c>
      <c r="G207" s="38" t="str">
        <f>IF(ISBLANK(Discharged!K207),"",Discharged!K207)</f>
        <v/>
      </c>
      <c r="H207" s="38" t="str">
        <f>IF(ISBLANK(Discharged!M207),"",Discharged!M207)</f>
        <v/>
      </c>
      <c r="I207" s="35" t="str">
        <f t="shared" si="7"/>
        <v/>
      </c>
    </row>
    <row r="208" spans="1:9" ht="143.25" customHeight="1">
      <c r="A208" s="35" t="str">
        <f t="shared" si="6"/>
        <v/>
      </c>
      <c r="B208" s="38" t="str">
        <f>IF(ISBLANK(Discharged!B208),"",Discharged!B208)</f>
        <v/>
      </c>
      <c r="C208" s="39" t="str">
        <f>IF(ISBLANK(Discharged!C208),"",CONCATENATE(Discharged!C208,", ",Discharged!D208))</f>
        <v/>
      </c>
      <c r="D208" s="38" t="str">
        <f>IF(ISBLANK(Discharged!E208),"",Discharged!E208)</f>
        <v/>
      </c>
      <c r="E208" s="38" t="str">
        <f>IF(ISBLANK(Discharged!F208),"",Discharged!F208)</f>
        <v/>
      </c>
      <c r="F208" s="39" t="str">
        <f>IF(ISBLANK(Discharged!H208),"",Discharged!H208)</f>
        <v/>
      </c>
      <c r="G208" s="38" t="str">
        <f>IF(ISBLANK(Discharged!K208),"",Discharged!K208)</f>
        <v/>
      </c>
      <c r="H208" s="38" t="str">
        <f>IF(ISBLANK(Discharged!M208),"",Discharged!M208)</f>
        <v/>
      </c>
      <c r="I208" s="35" t="str">
        <f t="shared" si="7"/>
        <v/>
      </c>
    </row>
    <row r="209" spans="1:9" ht="143.25" customHeight="1">
      <c r="A209" s="35" t="str">
        <f t="shared" si="6"/>
        <v/>
      </c>
      <c r="B209" s="38" t="str">
        <f>IF(ISBLANK(Discharged!B209),"",Discharged!B209)</f>
        <v/>
      </c>
      <c r="C209" s="39" t="str">
        <f>IF(ISBLANK(Discharged!C209),"",CONCATENATE(Discharged!C209,", ",Discharged!D209))</f>
        <v/>
      </c>
      <c r="D209" s="38" t="str">
        <f>IF(ISBLANK(Discharged!E209),"",Discharged!E209)</f>
        <v/>
      </c>
      <c r="E209" s="38" t="str">
        <f>IF(ISBLANK(Discharged!F209),"",Discharged!F209)</f>
        <v/>
      </c>
      <c r="F209" s="39" t="str">
        <f>IF(ISBLANK(Discharged!H209),"",Discharged!H209)</f>
        <v/>
      </c>
      <c r="G209" s="38" t="str">
        <f>IF(ISBLANK(Discharged!K209),"",Discharged!K209)</f>
        <v/>
      </c>
      <c r="H209" s="38" t="str">
        <f>IF(ISBLANK(Discharged!M209),"",Discharged!M209)</f>
        <v/>
      </c>
      <c r="I209" s="35" t="str">
        <f t="shared" si="7"/>
        <v/>
      </c>
    </row>
    <row r="210" spans="1:9" ht="143.25" customHeight="1">
      <c r="A210" s="35" t="str">
        <f t="shared" si="6"/>
        <v/>
      </c>
      <c r="B210" s="38" t="str">
        <f>IF(ISBLANK(Discharged!B210),"",Discharged!B210)</f>
        <v/>
      </c>
      <c r="C210" s="39" t="str">
        <f>IF(ISBLANK(Discharged!C210),"",CONCATENATE(Discharged!C210,", ",Discharged!D210))</f>
        <v/>
      </c>
      <c r="D210" s="38" t="str">
        <f>IF(ISBLANK(Discharged!E210),"",Discharged!E210)</f>
        <v/>
      </c>
      <c r="E210" s="38" t="str">
        <f>IF(ISBLANK(Discharged!F210),"",Discharged!F210)</f>
        <v/>
      </c>
      <c r="F210" s="39" t="str">
        <f>IF(ISBLANK(Discharged!H210),"",Discharged!H210)</f>
        <v/>
      </c>
      <c r="G210" s="38" t="str">
        <f>IF(ISBLANK(Discharged!K210),"",Discharged!K210)</f>
        <v/>
      </c>
      <c r="H210" s="38" t="str">
        <f>IF(ISBLANK(Discharged!M210),"",Discharged!M210)</f>
        <v/>
      </c>
      <c r="I210" s="35" t="str">
        <f t="shared" si="7"/>
        <v/>
      </c>
    </row>
    <row r="211" spans="1:9" ht="143.25" customHeight="1">
      <c r="A211" s="35" t="str">
        <f t="shared" si="6"/>
        <v/>
      </c>
      <c r="B211" s="38" t="str">
        <f>IF(ISBLANK(Discharged!B211),"",Discharged!B211)</f>
        <v/>
      </c>
      <c r="C211" s="39" t="str">
        <f>IF(ISBLANK(Discharged!C211),"",CONCATENATE(Discharged!C211,", ",Discharged!D211))</f>
        <v/>
      </c>
      <c r="D211" s="38" t="str">
        <f>IF(ISBLANK(Discharged!E211),"",Discharged!E211)</f>
        <v/>
      </c>
      <c r="E211" s="38" t="str">
        <f>IF(ISBLANK(Discharged!F211),"",Discharged!F211)</f>
        <v/>
      </c>
      <c r="F211" s="39" t="str">
        <f>IF(ISBLANK(Discharged!H211),"",Discharged!H211)</f>
        <v/>
      </c>
      <c r="G211" s="38" t="str">
        <f>IF(ISBLANK(Discharged!K211),"",Discharged!K211)</f>
        <v/>
      </c>
      <c r="H211" s="38" t="str">
        <f>IF(ISBLANK(Discharged!M211),"",Discharged!M211)</f>
        <v/>
      </c>
      <c r="I211" s="35" t="str">
        <f t="shared" si="7"/>
        <v/>
      </c>
    </row>
    <row r="212" spans="1:9" ht="143.25" customHeight="1">
      <c r="A212" s="35" t="str">
        <f t="shared" si="6"/>
        <v/>
      </c>
      <c r="B212" s="38" t="str">
        <f>IF(ISBLANK(Discharged!B212),"",Discharged!B212)</f>
        <v/>
      </c>
      <c r="C212" s="39" t="str">
        <f>IF(ISBLANK(Discharged!C212),"",CONCATENATE(Discharged!C212,", ",Discharged!D212))</f>
        <v/>
      </c>
      <c r="D212" s="38" t="str">
        <f>IF(ISBLANK(Discharged!E212),"",Discharged!E212)</f>
        <v/>
      </c>
      <c r="E212" s="38" t="str">
        <f>IF(ISBLANK(Discharged!F212),"",Discharged!F212)</f>
        <v/>
      </c>
      <c r="F212" s="39" t="str">
        <f>IF(ISBLANK(Discharged!H212),"",Discharged!H212)</f>
        <v/>
      </c>
      <c r="G212" s="38" t="str">
        <f>IF(ISBLANK(Discharged!K212),"",Discharged!K212)</f>
        <v/>
      </c>
      <c r="H212" s="38" t="str">
        <f>IF(ISBLANK(Discharged!M212),"",Discharged!M212)</f>
        <v/>
      </c>
      <c r="I212" s="35" t="str">
        <f t="shared" si="7"/>
        <v/>
      </c>
    </row>
    <row r="213" spans="1:9" ht="143.25" customHeight="1">
      <c r="A213" s="35" t="str">
        <f t="shared" si="6"/>
        <v/>
      </c>
      <c r="B213" s="38" t="str">
        <f>IF(ISBLANK(Discharged!B213),"",Discharged!B213)</f>
        <v/>
      </c>
      <c r="C213" s="39" t="str">
        <f>IF(ISBLANK(Discharged!C213),"",CONCATENATE(Discharged!C213,", ",Discharged!D213))</f>
        <v/>
      </c>
      <c r="D213" s="38" t="str">
        <f>IF(ISBLANK(Discharged!E213),"",Discharged!E213)</f>
        <v/>
      </c>
      <c r="E213" s="38" t="str">
        <f>IF(ISBLANK(Discharged!F213),"",Discharged!F213)</f>
        <v/>
      </c>
      <c r="F213" s="39" t="str">
        <f>IF(ISBLANK(Discharged!H213),"",Discharged!H213)</f>
        <v/>
      </c>
      <c r="G213" s="38" t="str">
        <f>IF(ISBLANK(Discharged!K213),"",Discharged!K213)</f>
        <v/>
      </c>
      <c r="H213" s="38" t="str">
        <f>IF(ISBLANK(Discharged!M213),"",Discharged!M213)</f>
        <v/>
      </c>
      <c r="I213" s="35" t="str">
        <f t="shared" si="7"/>
        <v/>
      </c>
    </row>
    <row r="214" spans="1:9" ht="143.25" customHeight="1">
      <c r="A214" s="35" t="str">
        <f t="shared" si="6"/>
        <v/>
      </c>
      <c r="B214" s="38" t="str">
        <f>IF(ISBLANK(Discharged!B214),"",Discharged!B214)</f>
        <v/>
      </c>
      <c r="C214" s="39" t="str">
        <f>IF(ISBLANK(Discharged!C214),"",CONCATENATE(Discharged!C214,", ",Discharged!D214))</f>
        <v/>
      </c>
      <c r="D214" s="38" t="str">
        <f>IF(ISBLANK(Discharged!E214),"",Discharged!E214)</f>
        <v/>
      </c>
      <c r="E214" s="38" t="str">
        <f>IF(ISBLANK(Discharged!F214),"",Discharged!F214)</f>
        <v/>
      </c>
      <c r="F214" s="39" t="str">
        <f>IF(ISBLANK(Discharged!H214),"",Discharged!H214)</f>
        <v/>
      </c>
      <c r="G214" s="38" t="str">
        <f>IF(ISBLANK(Discharged!K214),"",Discharged!K214)</f>
        <v/>
      </c>
      <c r="H214" s="38" t="str">
        <f>IF(ISBLANK(Discharged!M214),"",Discharged!M214)</f>
        <v/>
      </c>
      <c r="I214" s="35" t="str">
        <f t="shared" si="7"/>
        <v/>
      </c>
    </row>
    <row r="215" spans="1:9" ht="143.25" customHeight="1">
      <c r="A215" s="35" t="str">
        <f t="shared" si="6"/>
        <v/>
      </c>
      <c r="B215" s="38" t="str">
        <f>IF(ISBLANK(Discharged!B215),"",Discharged!B215)</f>
        <v/>
      </c>
      <c r="C215" s="39" t="str">
        <f>IF(ISBLANK(Discharged!C215),"",CONCATENATE(Discharged!C215,", ",Discharged!D215))</f>
        <v/>
      </c>
      <c r="D215" s="38" t="str">
        <f>IF(ISBLANK(Discharged!E215),"",Discharged!E215)</f>
        <v/>
      </c>
      <c r="E215" s="38" t="str">
        <f>IF(ISBLANK(Discharged!F215),"",Discharged!F215)</f>
        <v/>
      </c>
      <c r="F215" s="39" t="str">
        <f>IF(ISBLANK(Discharged!H215),"",Discharged!H215)</f>
        <v/>
      </c>
      <c r="G215" s="38" t="str">
        <f>IF(ISBLANK(Discharged!K215),"",Discharged!K215)</f>
        <v/>
      </c>
      <c r="H215" s="38" t="str">
        <f>IF(ISBLANK(Discharged!M215),"",Discharged!M215)</f>
        <v/>
      </c>
      <c r="I215" s="35" t="str">
        <f t="shared" si="7"/>
        <v/>
      </c>
    </row>
    <row r="216" spans="1:9" ht="143.25" customHeight="1">
      <c r="A216" s="35" t="str">
        <f t="shared" si="6"/>
        <v/>
      </c>
      <c r="B216" s="38" t="str">
        <f>IF(ISBLANK(Discharged!B216),"",Discharged!B216)</f>
        <v/>
      </c>
      <c r="C216" s="39" t="str">
        <f>IF(ISBLANK(Discharged!C216),"",CONCATENATE(Discharged!C216,", ",Discharged!D216))</f>
        <v/>
      </c>
      <c r="D216" s="38" t="str">
        <f>IF(ISBLANK(Discharged!E216),"",Discharged!E216)</f>
        <v/>
      </c>
      <c r="E216" s="38" t="str">
        <f>IF(ISBLANK(Discharged!F216),"",Discharged!F216)</f>
        <v/>
      </c>
      <c r="F216" s="39" t="str">
        <f>IF(ISBLANK(Discharged!H216),"",Discharged!H216)</f>
        <v/>
      </c>
      <c r="G216" s="38" t="str">
        <f>IF(ISBLANK(Discharged!K216),"",Discharged!K216)</f>
        <v/>
      </c>
      <c r="H216" s="38" t="str">
        <f>IF(ISBLANK(Discharged!M216),"",Discharged!M216)</f>
        <v/>
      </c>
      <c r="I216" s="35" t="str">
        <f t="shared" si="7"/>
        <v/>
      </c>
    </row>
    <row r="217" spans="1:9" ht="143.25" customHeight="1">
      <c r="A217" s="35" t="str">
        <f t="shared" si="6"/>
        <v/>
      </c>
      <c r="B217" s="38" t="str">
        <f>IF(ISBLANK(Discharged!B217),"",Discharged!B217)</f>
        <v/>
      </c>
      <c r="C217" s="39" t="str">
        <f>IF(ISBLANK(Discharged!C217),"",CONCATENATE(Discharged!C217,", ",Discharged!D217))</f>
        <v/>
      </c>
      <c r="D217" s="38" t="str">
        <f>IF(ISBLANK(Discharged!E217),"",Discharged!E217)</f>
        <v/>
      </c>
      <c r="E217" s="38" t="str">
        <f>IF(ISBLANK(Discharged!F217),"",Discharged!F217)</f>
        <v/>
      </c>
      <c r="F217" s="39" t="str">
        <f>IF(ISBLANK(Discharged!H217),"",Discharged!H217)</f>
        <v/>
      </c>
      <c r="G217" s="38" t="str">
        <f>IF(ISBLANK(Discharged!K217),"",Discharged!K217)</f>
        <v/>
      </c>
      <c r="H217" s="38" t="str">
        <f>IF(ISBLANK(Discharged!M217),"",Discharged!M217)</f>
        <v/>
      </c>
      <c r="I217" s="35" t="str">
        <f t="shared" si="7"/>
        <v/>
      </c>
    </row>
    <row r="218" spans="1:9" ht="143.25" customHeight="1">
      <c r="A218" s="35" t="str">
        <f t="shared" si="6"/>
        <v/>
      </c>
      <c r="B218" s="38" t="str">
        <f>IF(ISBLANK(Discharged!B218),"",Discharged!B218)</f>
        <v/>
      </c>
      <c r="C218" s="39" t="str">
        <f>IF(ISBLANK(Discharged!C218),"",CONCATENATE(Discharged!C218,", ",Discharged!D218))</f>
        <v/>
      </c>
      <c r="D218" s="38" t="str">
        <f>IF(ISBLANK(Discharged!E218),"",Discharged!E218)</f>
        <v/>
      </c>
      <c r="E218" s="38" t="str">
        <f>IF(ISBLANK(Discharged!F218),"",Discharged!F218)</f>
        <v/>
      </c>
      <c r="F218" s="39" t="str">
        <f>IF(ISBLANK(Discharged!H218),"",Discharged!H218)</f>
        <v/>
      </c>
      <c r="G218" s="38" t="str">
        <f>IF(ISBLANK(Discharged!K218),"",Discharged!K218)</f>
        <v/>
      </c>
      <c r="H218" s="38" t="str">
        <f>IF(ISBLANK(Discharged!M218),"",Discharged!M218)</f>
        <v/>
      </c>
      <c r="I218" s="35" t="str">
        <f t="shared" si="7"/>
        <v/>
      </c>
    </row>
    <row r="219" spans="1:9" ht="143.25" customHeight="1">
      <c r="A219" s="35" t="str">
        <f t="shared" si="6"/>
        <v/>
      </c>
      <c r="B219" s="38" t="str">
        <f>IF(ISBLANK(Discharged!B219),"",Discharged!B219)</f>
        <v/>
      </c>
      <c r="C219" s="39" t="str">
        <f>IF(ISBLANK(Discharged!C219),"",CONCATENATE(Discharged!C219,", ",Discharged!D219))</f>
        <v/>
      </c>
      <c r="D219" s="38" t="str">
        <f>IF(ISBLANK(Discharged!E219),"",Discharged!E219)</f>
        <v/>
      </c>
      <c r="E219" s="38" t="str">
        <f>IF(ISBLANK(Discharged!F219),"",Discharged!F219)</f>
        <v/>
      </c>
      <c r="F219" s="39" t="str">
        <f>IF(ISBLANK(Discharged!H219),"",Discharged!H219)</f>
        <v/>
      </c>
      <c r="G219" s="38" t="str">
        <f>IF(ISBLANK(Discharged!K219),"",Discharged!K219)</f>
        <v/>
      </c>
      <c r="H219" s="38" t="str">
        <f>IF(ISBLANK(Discharged!M219),"",Discharged!M219)</f>
        <v/>
      </c>
      <c r="I219" s="35" t="str">
        <f t="shared" si="7"/>
        <v/>
      </c>
    </row>
    <row r="220" spans="1:9" ht="143.25" customHeight="1">
      <c r="A220" s="35" t="str">
        <f t="shared" si="6"/>
        <v/>
      </c>
      <c r="B220" s="38" t="str">
        <f>IF(ISBLANK(Discharged!B220),"",Discharged!B220)</f>
        <v/>
      </c>
      <c r="C220" s="39" t="str">
        <f>IF(ISBLANK(Discharged!C220),"",CONCATENATE(Discharged!C220,", ",Discharged!D220))</f>
        <v/>
      </c>
      <c r="D220" s="38" t="str">
        <f>IF(ISBLANK(Discharged!E220),"",Discharged!E220)</f>
        <v/>
      </c>
      <c r="E220" s="38" t="str">
        <f>IF(ISBLANK(Discharged!F220),"",Discharged!F220)</f>
        <v/>
      </c>
      <c r="F220" s="39" t="str">
        <f>IF(ISBLANK(Discharged!H220),"",Discharged!H220)</f>
        <v/>
      </c>
      <c r="G220" s="38" t="str">
        <f>IF(ISBLANK(Discharged!K220),"",Discharged!K220)</f>
        <v/>
      </c>
      <c r="H220" s="38" t="str">
        <f>IF(ISBLANK(Discharged!M220),"",Discharged!M220)</f>
        <v/>
      </c>
      <c r="I220" s="35" t="str">
        <f t="shared" si="7"/>
        <v/>
      </c>
    </row>
    <row r="221" spans="1:9" ht="143.25" customHeight="1">
      <c r="A221" s="35" t="str">
        <f t="shared" si="6"/>
        <v/>
      </c>
      <c r="B221" s="38" t="str">
        <f>IF(ISBLANK(Discharged!B221),"",Discharged!B221)</f>
        <v/>
      </c>
      <c r="C221" s="39" t="str">
        <f>IF(ISBLANK(Discharged!C221),"",CONCATENATE(Discharged!C221,", ",Discharged!D221))</f>
        <v/>
      </c>
      <c r="D221" s="38" t="str">
        <f>IF(ISBLANK(Discharged!E221),"",Discharged!E221)</f>
        <v/>
      </c>
      <c r="E221" s="38" t="str">
        <f>IF(ISBLANK(Discharged!F221),"",Discharged!F221)</f>
        <v/>
      </c>
      <c r="F221" s="39" t="str">
        <f>IF(ISBLANK(Discharged!H221),"",Discharged!H221)</f>
        <v/>
      </c>
      <c r="G221" s="38" t="str">
        <f>IF(ISBLANK(Discharged!K221),"",Discharged!K221)</f>
        <v/>
      </c>
      <c r="H221" s="38" t="str">
        <f>IF(ISBLANK(Discharged!M221),"",Discharged!M221)</f>
        <v/>
      </c>
      <c r="I221" s="35" t="str">
        <f t="shared" si="7"/>
        <v/>
      </c>
    </row>
    <row r="222" spans="1:9" ht="143.25" customHeight="1">
      <c r="A222" s="35" t="str">
        <f t="shared" si="6"/>
        <v/>
      </c>
      <c r="B222" s="38" t="str">
        <f>IF(ISBLANK(Discharged!B222),"",Discharged!B222)</f>
        <v/>
      </c>
      <c r="C222" s="39" t="str">
        <f>IF(ISBLANK(Discharged!C222),"",CONCATENATE(Discharged!C222,", ",Discharged!D222))</f>
        <v/>
      </c>
      <c r="D222" s="38" t="str">
        <f>IF(ISBLANK(Discharged!E222),"",Discharged!E222)</f>
        <v/>
      </c>
      <c r="E222" s="38" t="str">
        <f>IF(ISBLANK(Discharged!F222),"",Discharged!F222)</f>
        <v/>
      </c>
      <c r="F222" s="39" t="str">
        <f>IF(ISBLANK(Discharged!H222),"",Discharged!H222)</f>
        <v/>
      </c>
      <c r="G222" s="38" t="str">
        <f>IF(ISBLANK(Discharged!K222),"",Discharged!K222)</f>
        <v/>
      </c>
      <c r="H222" s="38" t="str">
        <f>IF(ISBLANK(Discharged!M222),"",Discharged!M222)</f>
        <v/>
      </c>
      <c r="I222" s="35" t="str">
        <f t="shared" si="7"/>
        <v/>
      </c>
    </row>
    <row r="223" spans="1:9" ht="143.25" customHeight="1">
      <c r="A223" s="35" t="str">
        <f t="shared" si="6"/>
        <v/>
      </c>
      <c r="B223" s="38" t="str">
        <f>IF(ISBLANK(Discharged!B223),"",Discharged!B223)</f>
        <v/>
      </c>
      <c r="C223" s="39" t="str">
        <f>IF(ISBLANK(Discharged!C223),"",CONCATENATE(Discharged!C223,", ",Discharged!D223))</f>
        <v/>
      </c>
      <c r="D223" s="38" t="str">
        <f>IF(ISBLANK(Discharged!E223),"",Discharged!E223)</f>
        <v/>
      </c>
      <c r="E223" s="38" t="str">
        <f>IF(ISBLANK(Discharged!F223),"",Discharged!F223)</f>
        <v/>
      </c>
      <c r="F223" s="39" t="str">
        <f>IF(ISBLANK(Discharged!H223),"",Discharged!H223)</f>
        <v/>
      </c>
      <c r="G223" s="38" t="str">
        <f>IF(ISBLANK(Discharged!K223),"",Discharged!K223)</f>
        <v/>
      </c>
      <c r="H223" s="38" t="str">
        <f>IF(ISBLANK(Discharged!M223),"",Discharged!M223)</f>
        <v/>
      </c>
      <c r="I223" s="35" t="str">
        <f t="shared" si="7"/>
        <v/>
      </c>
    </row>
    <row r="224" spans="1:9" ht="143.25" customHeight="1">
      <c r="A224" s="35" t="str">
        <f t="shared" si="6"/>
        <v/>
      </c>
      <c r="B224" s="38" t="str">
        <f>IF(ISBLANK(Discharged!B224),"",Discharged!B224)</f>
        <v/>
      </c>
      <c r="C224" s="39" t="str">
        <f>IF(ISBLANK(Discharged!C224),"",CONCATENATE(Discharged!C224,", ",Discharged!D224))</f>
        <v/>
      </c>
      <c r="D224" s="38" t="str">
        <f>IF(ISBLANK(Discharged!E224),"",Discharged!E224)</f>
        <v/>
      </c>
      <c r="E224" s="38" t="str">
        <f>IF(ISBLANK(Discharged!F224),"",Discharged!F224)</f>
        <v/>
      </c>
      <c r="F224" s="39" t="str">
        <f>IF(ISBLANK(Discharged!H224),"",Discharged!H224)</f>
        <v/>
      </c>
      <c r="G224" s="38" t="str">
        <f>IF(ISBLANK(Discharged!K224),"",Discharged!K224)</f>
        <v/>
      </c>
      <c r="H224" s="38" t="str">
        <f>IF(ISBLANK(Discharged!M224),"",Discharged!M224)</f>
        <v/>
      </c>
      <c r="I224" s="35" t="str">
        <f t="shared" si="7"/>
        <v/>
      </c>
    </row>
    <row r="225" spans="1:9" ht="143.25" customHeight="1">
      <c r="A225" s="35" t="str">
        <f t="shared" si="6"/>
        <v/>
      </c>
      <c r="B225" s="38" t="str">
        <f>IF(ISBLANK(Discharged!B225),"",Discharged!B225)</f>
        <v/>
      </c>
      <c r="C225" s="39" t="str">
        <f>IF(ISBLANK(Discharged!C225),"",CONCATENATE(Discharged!C225,", ",Discharged!D225))</f>
        <v/>
      </c>
      <c r="D225" s="38" t="str">
        <f>IF(ISBLANK(Discharged!E225),"",Discharged!E225)</f>
        <v/>
      </c>
      <c r="E225" s="38" t="str">
        <f>IF(ISBLANK(Discharged!F225),"",Discharged!F225)</f>
        <v/>
      </c>
      <c r="F225" s="39" t="str">
        <f>IF(ISBLANK(Discharged!H225),"",Discharged!H225)</f>
        <v/>
      </c>
      <c r="G225" s="38" t="str">
        <f>IF(ISBLANK(Discharged!K225),"",Discharged!K225)</f>
        <v/>
      </c>
      <c r="H225" s="38" t="str">
        <f>IF(ISBLANK(Discharged!M225),"",Discharged!M225)</f>
        <v/>
      </c>
      <c r="I225" s="35" t="str">
        <f t="shared" si="7"/>
        <v/>
      </c>
    </row>
    <row r="226" spans="1:9" ht="143.25" customHeight="1">
      <c r="A226" s="35" t="str">
        <f t="shared" si="6"/>
        <v/>
      </c>
      <c r="B226" s="38" t="str">
        <f>IF(ISBLANK(Discharged!B226),"",Discharged!B226)</f>
        <v/>
      </c>
      <c r="C226" s="39" t="str">
        <f>IF(ISBLANK(Discharged!C226),"",CONCATENATE(Discharged!C226,", ",Discharged!D226))</f>
        <v/>
      </c>
      <c r="D226" s="38" t="str">
        <f>IF(ISBLANK(Discharged!E226),"",Discharged!E226)</f>
        <v/>
      </c>
      <c r="E226" s="38" t="str">
        <f>IF(ISBLANK(Discharged!F226),"",Discharged!F226)</f>
        <v/>
      </c>
      <c r="F226" s="39" t="str">
        <f>IF(ISBLANK(Discharged!H226),"",Discharged!H226)</f>
        <v/>
      </c>
      <c r="G226" s="38" t="str">
        <f>IF(ISBLANK(Discharged!K226),"",Discharged!K226)</f>
        <v/>
      </c>
      <c r="H226" s="38" t="str">
        <f>IF(ISBLANK(Discharged!M226),"",Discharged!M226)</f>
        <v/>
      </c>
      <c r="I226" s="35" t="str">
        <f t="shared" si="7"/>
        <v/>
      </c>
    </row>
    <row r="227" spans="1:9" ht="143.25" customHeight="1">
      <c r="A227" s="35" t="str">
        <f t="shared" si="6"/>
        <v/>
      </c>
      <c r="B227" s="38" t="str">
        <f>IF(ISBLANK(Discharged!B227),"",Discharged!B227)</f>
        <v/>
      </c>
      <c r="C227" s="39" t="str">
        <f>IF(ISBLANK(Discharged!C227),"",CONCATENATE(Discharged!C227,", ",Discharged!D227))</f>
        <v/>
      </c>
      <c r="D227" s="38" t="str">
        <f>IF(ISBLANK(Discharged!E227),"",Discharged!E227)</f>
        <v/>
      </c>
      <c r="E227" s="38" t="str">
        <f>IF(ISBLANK(Discharged!F227),"",Discharged!F227)</f>
        <v/>
      </c>
      <c r="F227" s="39" t="str">
        <f>IF(ISBLANK(Discharged!H227),"",Discharged!H227)</f>
        <v/>
      </c>
      <c r="G227" s="38" t="str">
        <f>IF(ISBLANK(Discharged!K227),"",Discharged!K227)</f>
        <v/>
      </c>
      <c r="H227" s="38" t="str">
        <f>IF(ISBLANK(Discharged!M227),"",Discharged!M227)</f>
        <v/>
      </c>
      <c r="I227" s="35" t="str">
        <f t="shared" si="7"/>
        <v/>
      </c>
    </row>
    <row r="228" spans="1:9" ht="143.25" customHeight="1">
      <c r="A228" s="35" t="str">
        <f t="shared" si="6"/>
        <v/>
      </c>
      <c r="B228" s="38" t="str">
        <f>IF(ISBLANK(Discharged!B228),"",Discharged!B228)</f>
        <v/>
      </c>
      <c r="C228" s="39" t="str">
        <f>IF(ISBLANK(Discharged!C228),"",CONCATENATE(Discharged!C228,", ",Discharged!D228))</f>
        <v/>
      </c>
      <c r="D228" s="38" t="str">
        <f>IF(ISBLANK(Discharged!E228),"",Discharged!E228)</f>
        <v/>
      </c>
      <c r="E228" s="38" t="str">
        <f>IF(ISBLANK(Discharged!F228),"",Discharged!F228)</f>
        <v/>
      </c>
      <c r="F228" s="39" t="str">
        <f>IF(ISBLANK(Discharged!H228),"",Discharged!H228)</f>
        <v/>
      </c>
      <c r="G228" s="38" t="str">
        <f>IF(ISBLANK(Discharged!K228),"",Discharged!K228)</f>
        <v/>
      </c>
      <c r="H228" s="38" t="str">
        <f>IF(ISBLANK(Discharged!M228),"",Discharged!M228)</f>
        <v/>
      </c>
      <c r="I228" s="35" t="str">
        <f t="shared" si="7"/>
        <v/>
      </c>
    </row>
    <row r="229" spans="1:9" ht="143.25" customHeight="1">
      <c r="A229" s="35" t="str">
        <f t="shared" si="6"/>
        <v/>
      </c>
      <c r="B229" s="38" t="str">
        <f>IF(ISBLANK(Discharged!B229),"",Discharged!B229)</f>
        <v/>
      </c>
      <c r="C229" s="39" t="str">
        <f>IF(ISBLANK(Discharged!C229),"",CONCATENATE(Discharged!C229,", ",Discharged!D229))</f>
        <v/>
      </c>
      <c r="D229" s="38" t="str">
        <f>IF(ISBLANK(Discharged!E229),"",Discharged!E229)</f>
        <v/>
      </c>
      <c r="E229" s="38" t="str">
        <f>IF(ISBLANK(Discharged!F229),"",Discharged!F229)</f>
        <v/>
      </c>
      <c r="F229" s="39" t="str">
        <f>IF(ISBLANK(Discharged!H229),"",Discharged!H229)</f>
        <v/>
      </c>
      <c r="G229" s="38" t="str">
        <f>IF(ISBLANK(Discharged!K229),"",Discharged!K229)</f>
        <v/>
      </c>
      <c r="H229" s="38" t="str">
        <f>IF(ISBLANK(Discharged!M229),"",Discharged!M229)</f>
        <v/>
      </c>
      <c r="I229" s="35" t="str">
        <f t="shared" si="7"/>
        <v/>
      </c>
    </row>
    <row r="230" spans="1:9" ht="143.25" customHeight="1">
      <c r="A230" s="35" t="str">
        <f t="shared" si="6"/>
        <v/>
      </c>
      <c r="B230" s="38" t="str">
        <f>IF(ISBLANK(Discharged!B230),"",Discharged!B230)</f>
        <v/>
      </c>
      <c r="C230" s="39" t="str">
        <f>IF(ISBLANK(Discharged!C230),"",CONCATENATE(Discharged!C230,", ",Discharged!D230))</f>
        <v/>
      </c>
      <c r="D230" s="38" t="str">
        <f>IF(ISBLANK(Discharged!E230),"",Discharged!E230)</f>
        <v/>
      </c>
      <c r="E230" s="38" t="str">
        <f>IF(ISBLANK(Discharged!F230),"",Discharged!F230)</f>
        <v/>
      </c>
      <c r="F230" s="39" t="str">
        <f>IF(ISBLANK(Discharged!H230),"",Discharged!H230)</f>
        <v/>
      </c>
      <c r="G230" s="38" t="str">
        <f>IF(ISBLANK(Discharged!K230),"",Discharged!K230)</f>
        <v/>
      </c>
      <c r="H230" s="38" t="str">
        <f>IF(ISBLANK(Discharged!M230),"",Discharged!M230)</f>
        <v/>
      </c>
      <c r="I230" s="35" t="str">
        <f t="shared" si="7"/>
        <v/>
      </c>
    </row>
    <row r="231" spans="1:9" ht="143.25" customHeight="1">
      <c r="A231" s="35" t="str">
        <f t="shared" si="6"/>
        <v/>
      </c>
      <c r="B231" s="38" t="str">
        <f>IF(ISBLANK(Discharged!B231),"",Discharged!B231)</f>
        <v/>
      </c>
      <c r="C231" s="39" t="str">
        <f>IF(ISBLANK(Discharged!C231),"",CONCATENATE(Discharged!C231,", ",Discharged!D231))</f>
        <v/>
      </c>
      <c r="D231" s="38" t="str">
        <f>IF(ISBLANK(Discharged!E231),"",Discharged!E231)</f>
        <v/>
      </c>
      <c r="E231" s="38" t="str">
        <f>IF(ISBLANK(Discharged!F231),"",Discharged!F231)</f>
        <v/>
      </c>
      <c r="F231" s="39" t="str">
        <f>IF(ISBLANK(Discharged!H231),"",Discharged!H231)</f>
        <v/>
      </c>
      <c r="G231" s="38" t="str">
        <f>IF(ISBLANK(Discharged!K231),"",Discharged!K231)</f>
        <v/>
      </c>
      <c r="H231" s="38" t="str">
        <f>IF(ISBLANK(Discharged!M231),"",Discharged!M231)</f>
        <v/>
      </c>
      <c r="I231" s="35" t="str">
        <f t="shared" si="7"/>
        <v/>
      </c>
    </row>
    <row r="232" spans="1:9" ht="143.25" customHeight="1">
      <c r="A232" s="35" t="str">
        <f t="shared" si="6"/>
        <v/>
      </c>
      <c r="B232" s="38" t="str">
        <f>IF(ISBLANK(Discharged!B232),"",Discharged!B232)</f>
        <v/>
      </c>
      <c r="C232" s="39" t="str">
        <f>IF(ISBLANK(Discharged!C232),"",CONCATENATE(Discharged!C232,", ",Discharged!D232))</f>
        <v/>
      </c>
      <c r="D232" s="38" t="str">
        <f>IF(ISBLANK(Discharged!E232),"",Discharged!E232)</f>
        <v/>
      </c>
      <c r="E232" s="38" t="str">
        <f>IF(ISBLANK(Discharged!F232),"",Discharged!F232)</f>
        <v/>
      </c>
      <c r="F232" s="39" t="str">
        <f>IF(ISBLANK(Discharged!H232),"",Discharged!H232)</f>
        <v/>
      </c>
      <c r="G232" s="38" t="str">
        <f>IF(ISBLANK(Discharged!K232),"",Discharged!K232)</f>
        <v/>
      </c>
      <c r="H232" s="38" t="str">
        <f>IF(ISBLANK(Discharged!M232),"",Discharged!M232)</f>
        <v/>
      </c>
      <c r="I232" s="35" t="str">
        <f t="shared" si="7"/>
        <v/>
      </c>
    </row>
    <row r="233" spans="1:9" ht="143.25" customHeight="1">
      <c r="A233" s="35" t="str">
        <f t="shared" si="6"/>
        <v/>
      </c>
      <c r="B233" s="38" t="str">
        <f>IF(ISBLANK(Discharged!B233),"",Discharged!B233)</f>
        <v/>
      </c>
      <c r="C233" s="39" t="str">
        <f>IF(ISBLANK(Discharged!C233),"",CONCATENATE(Discharged!C233,", ",Discharged!D233))</f>
        <v/>
      </c>
      <c r="D233" s="38" t="str">
        <f>IF(ISBLANK(Discharged!E233),"",Discharged!E233)</f>
        <v/>
      </c>
      <c r="E233" s="38" t="str">
        <f>IF(ISBLANK(Discharged!F233),"",Discharged!F233)</f>
        <v/>
      </c>
      <c r="F233" s="39" t="str">
        <f>IF(ISBLANK(Discharged!H233),"",Discharged!H233)</f>
        <v/>
      </c>
      <c r="G233" s="38" t="str">
        <f>IF(ISBLANK(Discharged!K233),"",Discharged!K233)</f>
        <v/>
      </c>
      <c r="H233" s="38" t="str">
        <f>IF(ISBLANK(Discharged!M233),"",Discharged!M233)</f>
        <v/>
      </c>
      <c r="I233" s="35" t="str">
        <f t="shared" si="7"/>
        <v/>
      </c>
    </row>
    <row r="234" spans="1:9" ht="143.25" customHeight="1">
      <c r="A234" s="35" t="str">
        <f t="shared" si="6"/>
        <v/>
      </c>
      <c r="B234" s="38" t="str">
        <f>IF(ISBLANK(Discharged!B234),"",Discharged!B234)</f>
        <v/>
      </c>
      <c r="C234" s="39" t="str">
        <f>IF(ISBLANK(Discharged!C234),"",CONCATENATE(Discharged!C234,", ",Discharged!D234))</f>
        <v/>
      </c>
      <c r="D234" s="38" t="str">
        <f>IF(ISBLANK(Discharged!E234),"",Discharged!E234)</f>
        <v/>
      </c>
      <c r="E234" s="38" t="str">
        <f>IF(ISBLANK(Discharged!F234),"",Discharged!F234)</f>
        <v/>
      </c>
      <c r="F234" s="39" t="str">
        <f>IF(ISBLANK(Discharged!H234),"",Discharged!H234)</f>
        <v/>
      </c>
      <c r="G234" s="38" t="str">
        <f>IF(ISBLANK(Discharged!K234),"",Discharged!K234)</f>
        <v/>
      </c>
      <c r="H234" s="38" t="str">
        <f>IF(ISBLANK(Discharged!M234),"",Discharged!M234)</f>
        <v/>
      </c>
      <c r="I234" s="35" t="str">
        <f t="shared" si="7"/>
        <v/>
      </c>
    </row>
    <row r="235" spans="1:9" ht="143.25" customHeight="1">
      <c r="A235" s="35" t="str">
        <f t="shared" si="6"/>
        <v/>
      </c>
      <c r="B235" s="38" t="str">
        <f>IF(ISBLANK(Discharged!B235),"",Discharged!B235)</f>
        <v/>
      </c>
      <c r="C235" s="39" t="str">
        <f>IF(ISBLANK(Discharged!C235),"",CONCATENATE(Discharged!C235,", ",Discharged!D235))</f>
        <v/>
      </c>
      <c r="D235" s="38" t="str">
        <f>IF(ISBLANK(Discharged!E235),"",Discharged!E235)</f>
        <v/>
      </c>
      <c r="E235" s="38" t="str">
        <f>IF(ISBLANK(Discharged!F235),"",Discharged!F235)</f>
        <v/>
      </c>
      <c r="F235" s="39" t="str">
        <f>IF(ISBLANK(Discharged!H235),"",Discharged!H235)</f>
        <v/>
      </c>
      <c r="G235" s="38" t="str">
        <f>IF(ISBLANK(Discharged!K235),"",Discharged!K235)</f>
        <v/>
      </c>
      <c r="H235" s="38" t="str">
        <f>IF(ISBLANK(Discharged!M235),"",Discharged!M235)</f>
        <v/>
      </c>
      <c r="I235" s="35" t="str">
        <f t="shared" si="7"/>
        <v/>
      </c>
    </row>
    <row r="236" spans="1:9" ht="143.25" customHeight="1">
      <c r="A236" s="35" t="str">
        <f t="shared" si="6"/>
        <v/>
      </c>
      <c r="B236" s="38" t="str">
        <f>IF(ISBLANK(Discharged!B236),"",Discharged!B236)</f>
        <v/>
      </c>
      <c r="C236" s="39" t="str">
        <f>IF(ISBLANK(Discharged!C236),"",CONCATENATE(Discharged!C236,", ",Discharged!D236))</f>
        <v/>
      </c>
      <c r="D236" s="38" t="str">
        <f>IF(ISBLANK(Discharged!E236),"",Discharged!E236)</f>
        <v/>
      </c>
      <c r="E236" s="38" t="str">
        <f>IF(ISBLANK(Discharged!F236),"",Discharged!F236)</f>
        <v/>
      </c>
      <c r="F236" s="39" t="str">
        <f>IF(ISBLANK(Discharged!H236),"",Discharged!H236)</f>
        <v/>
      </c>
      <c r="G236" s="38" t="str">
        <f>IF(ISBLANK(Discharged!K236),"",Discharged!K236)</f>
        <v/>
      </c>
      <c r="H236" s="38" t="str">
        <f>IF(ISBLANK(Discharged!M236),"",Discharged!M236)</f>
        <v/>
      </c>
      <c r="I236" s="35" t="str">
        <f t="shared" si="7"/>
        <v/>
      </c>
    </row>
    <row r="237" spans="1:9" ht="143.25" customHeight="1">
      <c r="A237" s="35" t="str">
        <f t="shared" si="6"/>
        <v/>
      </c>
      <c r="B237" s="38" t="str">
        <f>IF(ISBLANK(Discharged!B237),"",Discharged!B237)</f>
        <v/>
      </c>
      <c r="C237" s="39" t="str">
        <f>IF(ISBLANK(Discharged!C237),"",CONCATENATE(Discharged!C237,", ",Discharged!D237))</f>
        <v/>
      </c>
      <c r="D237" s="38" t="str">
        <f>IF(ISBLANK(Discharged!E237),"",Discharged!E237)</f>
        <v/>
      </c>
      <c r="E237" s="38" t="str">
        <f>IF(ISBLANK(Discharged!F237),"",Discharged!F237)</f>
        <v/>
      </c>
      <c r="F237" s="39" t="str">
        <f>IF(ISBLANK(Discharged!H237),"",Discharged!H237)</f>
        <v/>
      </c>
      <c r="G237" s="38" t="str">
        <f>IF(ISBLANK(Discharged!K237),"",Discharged!K237)</f>
        <v/>
      </c>
      <c r="H237" s="38" t="str">
        <f>IF(ISBLANK(Discharged!M237),"",Discharged!M237)</f>
        <v/>
      </c>
      <c r="I237" s="35" t="str">
        <f t="shared" si="7"/>
        <v/>
      </c>
    </row>
    <row r="238" spans="1:9" ht="143.25" customHeight="1">
      <c r="A238" s="35" t="str">
        <f t="shared" si="6"/>
        <v/>
      </c>
      <c r="B238" s="38" t="str">
        <f>IF(ISBLANK(Discharged!B238),"",Discharged!B238)</f>
        <v/>
      </c>
      <c r="C238" s="39" t="str">
        <f>IF(ISBLANK(Discharged!C238),"",CONCATENATE(Discharged!C238,", ",Discharged!D238))</f>
        <v/>
      </c>
      <c r="D238" s="38" t="str">
        <f>IF(ISBLANK(Discharged!E238),"",Discharged!E238)</f>
        <v/>
      </c>
      <c r="E238" s="38" t="str">
        <f>IF(ISBLANK(Discharged!F238),"",Discharged!F238)</f>
        <v/>
      </c>
      <c r="F238" s="39" t="str">
        <f>IF(ISBLANK(Discharged!H238),"",Discharged!H238)</f>
        <v/>
      </c>
      <c r="G238" s="38" t="str">
        <f>IF(ISBLANK(Discharged!K238),"",Discharged!K238)</f>
        <v/>
      </c>
      <c r="H238" s="38" t="str">
        <f>IF(ISBLANK(Discharged!M238),"",Discharged!M238)</f>
        <v/>
      </c>
      <c r="I238" s="35" t="str">
        <f t="shared" si="7"/>
        <v/>
      </c>
    </row>
    <row r="239" spans="1:9" ht="143.25" customHeight="1">
      <c r="A239" s="35" t="str">
        <f t="shared" si="6"/>
        <v/>
      </c>
      <c r="B239" s="38" t="str">
        <f>IF(ISBLANK(Discharged!B239),"",Discharged!B239)</f>
        <v/>
      </c>
      <c r="C239" s="39" t="str">
        <f>IF(ISBLANK(Discharged!C239),"",CONCATENATE(Discharged!C239,", ",Discharged!D239))</f>
        <v/>
      </c>
      <c r="D239" s="38" t="str">
        <f>IF(ISBLANK(Discharged!E239),"",Discharged!E239)</f>
        <v/>
      </c>
      <c r="E239" s="38" t="str">
        <f>IF(ISBLANK(Discharged!F239),"",Discharged!F239)</f>
        <v/>
      </c>
      <c r="F239" s="39" t="str">
        <f>IF(ISBLANK(Discharged!H239),"",Discharged!H239)</f>
        <v/>
      </c>
      <c r="G239" s="38" t="str">
        <f>IF(ISBLANK(Discharged!K239),"",Discharged!K239)</f>
        <v/>
      </c>
      <c r="H239" s="38" t="str">
        <f>IF(ISBLANK(Discharged!M239),"",Discharged!M239)</f>
        <v/>
      </c>
      <c r="I239" s="35" t="str">
        <f t="shared" si="7"/>
        <v/>
      </c>
    </row>
    <row r="240" spans="1:9" ht="143.25" customHeight="1">
      <c r="A240" s="35" t="str">
        <f t="shared" si="6"/>
        <v/>
      </c>
      <c r="B240" s="38" t="str">
        <f>IF(ISBLANK(Discharged!B240),"",Discharged!B240)</f>
        <v/>
      </c>
      <c r="C240" s="39" t="str">
        <f>IF(ISBLANK(Discharged!C240),"",CONCATENATE(Discharged!C240,", ",Discharged!D240))</f>
        <v/>
      </c>
      <c r="D240" s="38" t="str">
        <f>IF(ISBLANK(Discharged!E240),"",Discharged!E240)</f>
        <v/>
      </c>
      <c r="E240" s="38" t="str">
        <f>IF(ISBLANK(Discharged!F240),"",Discharged!F240)</f>
        <v/>
      </c>
      <c r="F240" s="39" t="str">
        <f>IF(ISBLANK(Discharged!H240),"",Discharged!H240)</f>
        <v/>
      </c>
      <c r="G240" s="38" t="str">
        <f>IF(ISBLANK(Discharged!K240),"",Discharged!K240)</f>
        <v/>
      </c>
      <c r="H240" s="38" t="str">
        <f>IF(ISBLANK(Discharged!M240),"",Discharged!M240)</f>
        <v/>
      </c>
      <c r="I240" s="35" t="str">
        <f t="shared" si="7"/>
        <v/>
      </c>
    </row>
    <row r="241" spans="1:9" ht="143.25" customHeight="1">
      <c r="A241" s="35" t="str">
        <f t="shared" si="6"/>
        <v/>
      </c>
      <c r="B241" s="38" t="str">
        <f>IF(ISBLANK(Discharged!B241),"",Discharged!B241)</f>
        <v/>
      </c>
      <c r="C241" s="39" t="str">
        <f>IF(ISBLANK(Discharged!C241),"",CONCATENATE(Discharged!C241,", ",Discharged!D241))</f>
        <v/>
      </c>
      <c r="D241" s="38" t="str">
        <f>IF(ISBLANK(Discharged!E241),"",Discharged!E241)</f>
        <v/>
      </c>
      <c r="E241" s="38" t="str">
        <f>IF(ISBLANK(Discharged!F241),"",Discharged!F241)</f>
        <v/>
      </c>
      <c r="F241" s="39" t="str">
        <f>IF(ISBLANK(Discharged!H241),"",Discharged!H241)</f>
        <v/>
      </c>
      <c r="G241" s="38" t="str">
        <f>IF(ISBLANK(Discharged!K241),"",Discharged!K241)</f>
        <v/>
      </c>
      <c r="H241" s="38" t="str">
        <f>IF(ISBLANK(Discharged!M241),"",Discharged!M241)</f>
        <v/>
      </c>
      <c r="I241" s="35" t="str">
        <f t="shared" si="7"/>
        <v/>
      </c>
    </row>
    <row r="242" spans="1:9" ht="143.25" customHeight="1">
      <c r="A242" s="35" t="str">
        <f t="shared" si="6"/>
        <v/>
      </c>
      <c r="B242" s="38" t="str">
        <f>IF(ISBLANK(Discharged!B242),"",Discharged!B242)</f>
        <v/>
      </c>
      <c r="C242" s="39" t="str">
        <f>IF(ISBLANK(Discharged!C242),"",CONCATENATE(Discharged!C242,", ",Discharged!D242))</f>
        <v/>
      </c>
      <c r="D242" s="38" t="str">
        <f>IF(ISBLANK(Discharged!E242),"",Discharged!E242)</f>
        <v/>
      </c>
      <c r="E242" s="38" t="str">
        <f>IF(ISBLANK(Discharged!F242),"",Discharged!F242)</f>
        <v/>
      </c>
      <c r="F242" s="39" t="str">
        <f>IF(ISBLANK(Discharged!H242),"",Discharged!H242)</f>
        <v/>
      </c>
      <c r="G242" s="38" t="str">
        <f>IF(ISBLANK(Discharged!K242),"",Discharged!K242)</f>
        <v/>
      </c>
      <c r="H242" s="38" t="str">
        <f>IF(ISBLANK(Discharged!M242),"",Discharged!M242)</f>
        <v/>
      </c>
      <c r="I242" s="35" t="str">
        <f t="shared" si="7"/>
        <v/>
      </c>
    </row>
    <row r="243" spans="1:9" ht="143.25" customHeight="1">
      <c r="A243" s="35" t="str">
        <f t="shared" si="6"/>
        <v/>
      </c>
      <c r="B243" s="38" t="str">
        <f>IF(ISBLANK(Discharged!B243),"",Discharged!B243)</f>
        <v/>
      </c>
      <c r="C243" s="39" t="str">
        <f>IF(ISBLANK(Discharged!C243),"",CONCATENATE(Discharged!C243,", ",Discharged!D243))</f>
        <v/>
      </c>
      <c r="D243" s="38" t="str">
        <f>IF(ISBLANK(Discharged!E243),"",Discharged!E243)</f>
        <v/>
      </c>
      <c r="E243" s="38" t="str">
        <f>IF(ISBLANK(Discharged!F243),"",Discharged!F243)</f>
        <v/>
      </c>
      <c r="F243" s="39" t="str">
        <f>IF(ISBLANK(Discharged!H243),"",Discharged!H243)</f>
        <v/>
      </c>
      <c r="G243" s="38" t="str">
        <f>IF(ISBLANK(Discharged!K243),"",Discharged!K243)</f>
        <v/>
      </c>
      <c r="H243" s="38" t="str">
        <f>IF(ISBLANK(Discharged!M243),"",Discharged!M243)</f>
        <v/>
      </c>
      <c r="I243" s="35" t="str">
        <f t="shared" si="7"/>
        <v/>
      </c>
    </row>
    <row r="244" spans="1:9" ht="143.25" customHeight="1">
      <c r="A244" s="35" t="str">
        <f t="shared" si="6"/>
        <v/>
      </c>
      <c r="B244" s="38" t="str">
        <f>IF(ISBLANK(Discharged!B244),"",Discharged!B244)</f>
        <v/>
      </c>
      <c r="C244" s="39" t="str">
        <f>IF(ISBLANK(Discharged!C244),"",CONCATENATE(Discharged!C244,", ",Discharged!D244))</f>
        <v/>
      </c>
      <c r="D244" s="38" t="str">
        <f>IF(ISBLANK(Discharged!E244),"",Discharged!E244)</f>
        <v/>
      </c>
      <c r="E244" s="38" t="str">
        <f>IF(ISBLANK(Discharged!F244),"",Discharged!F244)</f>
        <v/>
      </c>
      <c r="F244" s="39" t="str">
        <f>IF(ISBLANK(Discharged!H244),"",Discharged!H244)</f>
        <v/>
      </c>
      <c r="G244" s="38" t="str">
        <f>IF(ISBLANK(Discharged!K244),"",Discharged!K244)</f>
        <v/>
      </c>
      <c r="H244" s="38" t="str">
        <f>IF(ISBLANK(Discharged!M244),"",Discharged!M244)</f>
        <v/>
      </c>
      <c r="I244" s="35" t="str">
        <f t="shared" si="7"/>
        <v/>
      </c>
    </row>
    <row r="245" spans="1:9" ht="143.25" customHeight="1">
      <c r="A245" s="35" t="str">
        <f t="shared" si="6"/>
        <v/>
      </c>
      <c r="B245" s="38" t="str">
        <f>IF(ISBLANK(Discharged!B245),"",Discharged!B245)</f>
        <v/>
      </c>
      <c r="C245" s="39" t="str">
        <f>IF(ISBLANK(Discharged!C245),"",CONCATENATE(Discharged!C245,", ",Discharged!D245))</f>
        <v/>
      </c>
      <c r="D245" s="38" t="str">
        <f>IF(ISBLANK(Discharged!E245),"",Discharged!E245)</f>
        <v/>
      </c>
      <c r="E245" s="38" t="str">
        <f>IF(ISBLANK(Discharged!F245),"",Discharged!F245)</f>
        <v/>
      </c>
      <c r="F245" s="39" t="str">
        <f>IF(ISBLANK(Discharged!H245),"",Discharged!H245)</f>
        <v/>
      </c>
      <c r="G245" s="38" t="str">
        <f>IF(ISBLANK(Discharged!K245),"",Discharged!K245)</f>
        <v/>
      </c>
      <c r="H245" s="38" t="str">
        <f>IF(ISBLANK(Discharged!M245),"",Discharged!M245)</f>
        <v/>
      </c>
      <c r="I245" s="35" t="str">
        <f t="shared" si="7"/>
        <v/>
      </c>
    </row>
    <row r="246" spans="1:9" ht="143.25" customHeight="1">
      <c r="A246" s="35" t="str">
        <f t="shared" si="6"/>
        <v/>
      </c>
      <c r="B246" s="38" t="str">
        <f>IF(ISBLANK(Discharged!B246),"",Discharged!B246)</f>
        <v/>
      </c>
      <c r="C246" s="39" t="str">
        <f>IF(ISBLANK(Discharged!C246),"",CONCATENATE(Discharged!C246,", ",Discharged!D246))</f>
        <v/>
      </c>
      <c r="D246" s="38" t="str">
        <f>IF(ISBLANK(Discharged!E246),"",Discharged!E246)</f>
        <v/>
      </c>
      <c r="E246" s="38" t="str">
        <f>IF(ISBLANK(Discharged!F246),"",Discharged!F246)</f>
        <v/>
      </c>
      <c r="F246" s="39" t="str">
        <f>IF(ISBLANK(Discharged!H246),"",Discharged!H246)</f>
        <v/>
      </c>
      <c r="G246" s="38" t="str">
        <f>IF(ISBLANK(Discharged!K246),"",Discharged!K246)</f>
        <v/>
      </c>
      <c r="H246" s="38" t="str">
        <f>IF(ISBLANK(Discharged!M246),"",Discharged!M246)</f>
        <v/>
      </c>
      <c r="I246" s="35" t="str">
        <f t="shared" si="7"/>
        <v/>
      </c>
    </row>
    <row r="247" spans="1:9" ht="143.25" customHeight="1">
      <c r="A247" s="35" t="str">
        <f t="shared" si="6"/>
        <v/>
      </c>
      <c r="B247" s="38" t="str">
        <f>IF(ISBLANK(Discharged!B247),"",Discharged!B247)</f>
        <v/>
      </c>
      <c r="C247" s="39" t="str">
        <f>IF(ISBLANK(Discharged!C247),"",CONCATENATE(Discharged!C247,", ",Discharged!D247))</f>
        <v/>
      </c>
      <c r="D247" s="38" t="str">
        <f>IF(ISBLANK(Discharged!E247),"",Discharged!E247)</f>
        <v/>
      </c>
      <c r="E247" s="38" t="str">
        <f>IF(ISBLANK(Discharged!F247),"",Discharged!F247)</f>
        <v/>
      </c>
      <c r="F247" s="39" t="str">
        <f>IF(ISBLANK(Discharged!H247),"",Discharged!H247)</f>
        <v/>
      </c>
      <c r="G247" s="38" t="str">
        <f>IF(ISBLANK(Discharged!K247),"",Discharged!K247)</f>
        <v/>
      </c>
      <c r="H247" s="38" t="str">
        <f>IF(ISBLANK(Discharged!M247),"",Discharged!M247)</f>
        <v/>
      </c>
      <c r="I247" s="35" t="str">
        <f t="shared" si="7"/>
        <v/>
      </c>
    </row>
    <row r="248" spans="1:9" ht="143.25" customHeight="1">
      <c r="A248" s="35" t="str">
        <f t="shared" si="6"/>
        <v/>
      </c>
      <c r="B248" s="38" t="str">
        <f>IF(ISBLANK(Discharged!B248),"",Discharged!B248)</f>
        <v/>
      </c>
      <c r="C248" s="39" t="str">
        <f>IF(ISBLANK(Discharged!C248),"",CONCATENATE(Discharged!C248,", ",Discharged!D248))</f>
        <v/>
      </c>
      <c r="D248" s="38" t="str">
        <f>IF(ISBLANK(Discharged!E248),"",Discharged!E248)</f>
        <v/>
      </c>
      <c r="E248" s="38" t="str">
        <f>IF(ISBLANK(Discharged!F248),"",Discharged!F248)</f>
        <v/>
      </c>
      <c r="F248" s="39" t="str">
        <f>IF(ISBLANK(Discharged!H248),"",Discharged!H248)</f>
        <v/>
      </c>
      <c r="G248" s="38" t="str">
        <f>IF(ISBLANK(Discharged!K248),"",Discharged!K248)</f>
        <v/>
      </c>
      <c r="H248" s="38" t="str">
        <f>IF(ISBLANK(Discharged!M248),"",Discharged!M248)</f>
        <v/>
      </c>
      <c r="I248" s="35" t="str">
        <f t="shared" si="7"/>
        <v/>
      </c>
    </row>
    <row r="249" spans="1:9" ht="143.25" customHeight="1">
      <c r="A249" s="35" t="str">
        <f t="shared" si="6"/>
        <v/>
      </c>
      <c r="B249" s="38" t="str">
        <f>IF(ISBLANK(Discharged!B249),"",Discharged!B249)</f>
        <v/>
      </c>
      <c r="C249" s="39" t="str">
        <f>IF(ISBLANK(Discharged!C249),"",CONCATENATE(Discharged!C249,", ",Discharged!D249))</f>
        <v/>
      </c>
      <c r="D249" s="38" t="str">
        <f>IF(ISBLANK(Discharged!E249),"",Discharged!E249)</f>
        <v/>
      </c>
      <c r="E249" s="38" t="str">
        <f>IF(ISBLANK(Discharged!F249),"",Discharged!F249)</f>
        <v/>
      </c>
      <c r="F249" s="39" t="str">
        <f>IF(ISBLANK(Discharged!H249),"",Discharged!H249)</f>
        <v/>
      </c>
      <c r="G249" s="38" t="str">
        <f>IF(ISBLANK(Discharged!K249),"",Discharged!K249)</f>
        <v/>
      </c>
      <c r="H249" s="38" t="str">
        <f>IF(ISBLANK(Discharged!M249),"",Discharged!M249)</f>
        <v/>
      </c>
      <c r="I249" s="35" t="str">
        <f t="shared" si="7"/>
        <v/>
      </c>
    </row>
    <row r="250" spans="1:9" ht="143.25" customHeight="1">
      <c r="A250" s="35" t="str">
        <f t="shared" si="6"/>
        <v/>
      </c>
      <c r="B250" s="38" t="str">
        <f>IF(ISBLANK(Discharged!B250),"",Discharged!B250)</f>
        <v/>
      </c>
      <c r="C250" s="39" t="str">
        <f>IF(ISBLANK(Discharged!C250),"",CONCATENATE(Discharged!C250,", ",Discharged!D250))</f>
        <v/>
      </c>
      <c r="D250" s="38" t="str">
        <f>IF(ISBLANK(Discharged!E250),"",Discharged!E250)</f>
        <v/>
      </c>
      <c r="E250" s="38" t="str">
        <f>IF(ISBLANK(Discharged!F250),"",Discharged!F250)</f>
        <v/>
      </c>
      <c r="F250" s="39" t="str">
        <f>IF(ISBLANK(Discharged!H250),"",Discharged!H250)</f>
        <v/>
      </c>
      <c r="G250" s="38" t="str">
        <f>IF(ISBLANK(Discharged!K250),"",Discharged!K250)</f>
        <v/>
      </c>
      <c r="H250" s="38" t="str">
        <f>IF(ISBLANK(Discharged!M250),"",Discharged!M250)</f>
        <v/>
      </c>
      <c r="I250" s="35" t="str">
        <f t="shared" si="7"/>
        <v/>
      </c>
    </row>
    <row r="251" spans="1:9" ht="143.25" customHeight="1">
      <c r="A251" s="35" t="str">
        <f t="shared" si="6"/>
        <v/>
      </c>
      <c r="B251" s="38" t="str">
        <f>IF(ISBLANK(Discharged!B251),"",Discharged!B251)</f>
        <v/>
      </c>
      <c r="C251" s="39" t="str">
        <f>IF(ISBLANK(Discharged!C251),"",CONCATENATE(Discharged!C251,", ",Discharged!D251))</f>
        <v/>
      </c>
      <c r="D251" s="38" t="str">
        <f>IF(ISBLANK(Discharged!E251),"",Discharged!E251)</f>
        <v/>
      </c>
      <c r="E251" s="38" t="str">
        <f>IF(ISBLANK(Discharged!F251),"",Discharged!F251)</f>
        <v/>
      </c>
      <c r="F251" s="39" t="str">
        <f>IF(ISBLANK(Discharged!H251),"",Discharged!H251)</f>
        <v/>
      </c>
      <c r="G251" s="38" t="str">
        <f>IF(ISBLANK(Discharged!K251),"",Discharged!K251)</f>
        <v/>
      </c>
      <c r="H251" s="38" t="str">
        <f>IF(ISBLANK(Discharged!M251),"",Discharged!M251)</f>
        <v/>
      </c>
      <c r="I251" s="35" t="str">
        <f t="shared" si="7"/>
        <v/>
      </c>
    </row>
    <row r="252" spans="1:9" ht="143.25" customHeight="1">
      <c r="A252" s="35" t="str">
        <f t="shared" si="6"/>
        <v/>
      </c>
      <c r="B252" s="38" t="str">
        <f>IF(ISBLANK(Discharged!B252),"",Discharged!B252)</f>
        <v/>
      </c>
      <c r="C252" s="39" t="str">
        <f>IF(ISBLANK(Discharged!C252),"",CONCATENATE(Discharged!C252,", ",Discharged!D252))</f>
        <v/>
      </c>
      <c r="D252" s="38" t="str">
        <f>IF(ISBLANK(Discharged!E252),"",Discharged!E252)</f>
        <v/>
      </c>
      <c r="E252" s="38" t="str">
        <f>IF(ISBLANK(Discharged!F252),"",Discharged!F252)</f>
        <v/>
      </c>
      <c r="F252" s="39" t="str">
        <f>IF(ISBLANK(Discharged!H252),"",Discharged!H252)</f>
        <v/>
      </c>
      <c r="G252" s="38" t="str">
        <f>IF(ISBLANK(Discharged!K252),"",Discharged!K252)</f>
        <v/>
      </c>
      <c r="H252" s="38" t="str">
        <f>IF(ISBLANK(Discharged!M252),"",Discharged!M252)</f>
        <v/>
      </c>
      <c r="I252" s="35" t="str">
        <f t="shared" si="7"/>
        <v/>
      </c>
    </row>
    <row r="253" spans="1:9" ht="143.25" customHeight="1">
      <c r="A253" s="35" t="str">
        <f t="shared" si="6"/>
        <v/>
      </c>
      <c r="B253" s="38" t="str">
        <f>IF(ISBLANK(Discharged!B253),"",Discharged!B253)</f>
        <v/>
      </c>
      <c r="C253" s="39" t="str">
        <f>IF(ISBLANK(Discharged!C253),"",CONCATENATE(Discharged!C253,", ",Discharged!D253))</f>
        <v/>
      </c>
      <c r="D253" s="38" t="str">
        <f>IF(ISBLANK(Discharged!E253),"",Discharged!E253)</f>
        <v/>
      </c>
      <c r="E253" s="38" t="str">
        <f>IF(ISBLANK(Discharged!F253),"",Discharged!F253)</f>
        <v/>
      </c>
      <c r="F253" s="39" t="str">
        <f>IF(ISBLANK(Discharged!H253),"",Discharged!H253)</f>
        <v/>
      </c>
      <c r="G253" s="38" t="str">
        <f>IF(ISBLANK(Discharged!K253),"",Discharged!K253)</f>
        <v/>
      </c>
      <c r="H253" s="38" t="str">
        <f>IF(ISBLANK(Discharged!M253),"",Discharged!M253)</f>
        <v/>
      </c>
      <c r="I253" s="35" t="str">
        <f t="shared" si="7"/>
        <v/>
      </c>
    </row>
    <row r="254" spans="1:9" ht="143.25" customHeight="1">
      <c r="A254" s="35" t="str">
        <f t="shared" si="6"/>
        <v/>
      </c>
      <c r="B254" s="38" t="str">
        <f>IF(ISBLANK(Discharged!B254),"",Discharged!B254)</f>
        <v/>
      </c>
      <c r="C254" s="39" t="str">
        <f>IF(ISBLANK(Discharged!C254),"",CONCATENATE(Discharged!C254,", ",Discharged!D254))</f>
        <v/>
      </c>
      <c r="D254" s="38" t="str">
        <f>IF(ISBLANK(Discharged!E254),"",Discharged!E254)</f>
        <v/>
      </c>
      <c r="E254" s="38" t="str">
        <f>IF(ISBLANK(Discharged!F254),"",Discharged!F254)</f>
        <v/>
      </c>
      <c r="F254" s="39" t="str">
        <f>IF(ISBLANK(Discharged!H254),"",Discharged!H254)</f>
        <v/>
      </c>
      <c r="G254" s="38" t="str">
        <f>IF(ISBLANK(Discharged!K254),"",Discharged!K254)</f>
        <v/>
      </c>
      <c r="H254" s="38" t="str">
        <f>IF(ISBLANK(Discharged!M254),"",Discharged!M254)</f>
        <v/>
      </c>
      <c r="I254" s="35" t="str">
        <f t="shared" si="7"/>
        <v/>
      </c>
    </row>
    <row r="255" spans="1:9" ht="143.25" customHeight="1">
      <c r="A255" s="35" t="str">
        <f t="shared" si="6"/>
        <v/>
      </c>
      <c r="B255" s="38" t="str">
        <f>IF(ISBLANK(Discharged!B255),"",Discharged!B255)</f>
        <v/>
      </c>
      <c r="C255" s="39" t="str">
        <f>IF(ISBLANK(Discharged!C255),"",CONCATENATE(Discharged!C255,", ",Discharged!D255))</f>
        <v/>
      </c>
      <c r="D255" s="38" t="str">
        <f>IF(ISBLANK(Discharged!E255),"",Discharged!E255)</f>
        <v/>
      </c>
      <c r="E255" s="38" t="str">
        <f>IF(ISBLANK(Discharged!F255),"",Discharged!F255)</f>
        <v/>
      </c>
      <c r="F255" s="39" t="str">
        <f>IF(ISBLANK(Discharged!H255),"",Discharged!H255)</f>
        <v/>
      </c>
      <c r="G255" s="38" t="str">
        <f>IF(ISBLANK(Discharged!K255),"",Discharged!K255)</f>
        <v/>
      </c>
      <c r="H255" s="38" t="str">
        <f>IF(ISBLANK(Discharged!M255),"",Discharged!M255)</f>
        <v/>
      </c>
      <c r="I255" s="35" t="str">
        <f t="shared" si="7"/>
        <v/>
      </c>
    </row>
    <row r="256" spans="1:9" ht="143.25" customHeight="1">
      <c r="A256" s="35" t="str">
        <f t="shared" si="6"/>
        <v/>
      </c>
      <c r="B256" s="38" t="str">
        <f>IF(ISBLANK(Discharged!B256),"",Discharged!B256)</f>
        <v/>
      </c>
      <c r="C256" s="39" t="str">
        <f>IF(ISBLANK(Discharged!C256),"",CONCATENATE(Discharged!C256,", ",Discharged!D256))</f>
        <v/>
      </c>
      <c r="D256" s="38" t="str">
        <f>IF(ISBLANK(Discharged!E256),"",Discharged!E256)</f>
        <v/>
      </c>
      <c r="E256" s="38" t="str">
        <f>IF(ISBLANK(Discharged!F256),"",Discharged!F256)</f>
        <v/>
      </c>
      <c r="F256" s="39" t="str">
        <f>IF(ISBLANK(Discharged!H256),"",Discharged!H256)</f>
        <v/>
      </c>
      <c r="G256" s="38" t="str">
        <f>IF(ISBLANK(Discharged!K256),"",Discharged!K256)</f>
        <v/>
      </c>
      <c r="H256" s="38" t="str">
        <f>IF(ISBLANK(Discharged!M256),"",Discharged!M256)</f>
        <v/>
      </c>
      <c r="I256" s="35" t="str">
        <f t="shared" si="7"/>
        <v/>
      </c>
    </row>
    <row r="257" spans="1:9" ht="143.25" customHeight="1">
      <c r="A257" s="35" t="str">
        <f t="shared" si="6"/>
        <v/>
      </c>
      <c r="B257" s="38" t="str">
        <f>IF(ISBLANK(Discharged!B257),"",Discharged!B257)</f>
        <v/>
      </c>
      <c r="C257" s="39" t="str">
        <f>IF(ISBLANK(Discharged!C257),"",CONCATENATE(Discharged!C257,", ",Discharged!D257))</f>
        <v/>
      </c>
      <c r="D257" s="38" t="str">
        <f>IF(ISBLANK(Discharged!E257),"",Discharged!E257)</f>
        <v/>
      </c>
      <c r="E257" s="38" t="str">
        <f>IF(ISBLANK(Discharged!F257),"",Discharged!F257)</f>
        <v/>
      </c>
      <c r="F257" s="39" t="str">
        <f>IF(ISBLANK(Discharged!H257),"",Discharged!H257)</f>
        <v/>
      </c>
      <c r="G257" s="38" t="str">
        <f>IF(ISBLANK(Discharged!K257),"",Discharged!K257)</f>
        <v/>
      </c>
      <c r="H257" s="38" t="str">
        <f>IF(ISBLANK(Discharged!M257),"",Discharged!M257)</f>
        <v/>
      </c>
      <c r="I257" s="35" t="str">
        <f t="shared" si="7"/>
        <v/>
      </c>
    </row>
    <row r="258" spans="1:9" ht="143.25" customHeight="1">
      <c r="A258" s="35" t="str">
        <f t="shared" ref="A258:A301" si="8">IF(B258="","",CONCATENATE("*",B258,"*"))</f>
        <v/>
      </c>
      <c r="B258" s="38" t="str">
        <f>IF(ISBLANK(Discharged!B258),"",Discharged!B258)</f>
        <v/>
      </c>
      <c r="C258" s="39" t="str">
        <f>IF(ISBLANK(Discharged!C258),"",CONCATENATE(Discharged!C258,", ",Discharged!D258))</f>
        <v/>
      </c>
      <c r="D258" s="38" t="str">
        <f>IF(ISBLANK(Discharged!E258),"",Discharged!E258)</f>
        <v/>
      </c>
      <c r="E258" s="38" t="str">
        <f>IF(ISBLANK(Discharged!F258),"",Discharged!F258)</f>
        <v/>
      </c>
      <c r="F258" s="39" t="str">
        <f>IF(ISBLANK(Discharged!H258),"",Discharged!H258)</f>
        <v/>
      </c>
      <c r="G258" s="38" t="str">
        <f>IF(ISBLANK(Discharged!K258),"",Discharged!K258)</f>
        <v/>
      </c>
      <c r="H258" s="38" t="str">
        <f>IF(ISBLANK(Discharged!M258),"",Discharged!M258)</f>
        <v/>
      </c>
      <c r="I258" s="35" t="str">
        <f t="shared" ref="I258:I301" si="9">IF(D258="","",CONCATENATE("*",D258,"*"))</f>
        <v/>
      </c>
    </row>
    <row r="259" spans="1:9" ht="143.25" customHeight="1">
      <c r="A259" s="35" t="str">
        <f t="shared" si="8"/>
        <v/>
      </c>
      <c r="B259" s="38" t="str">
        <f>IF(ISBLANK(Discharged!B259),"",Discharged!B259)</f>
        <v/>
      </c>
      <c r="C259" s="39" t="str">
        <f>IF(ISBLANK(Discharged!C259),"",CONCATENATE(Discharged!C259,", ",Discharged!D259))</f>
        <v/>
      </c>
      <c r="D259" s="38" t="str">
        <f>IF(ISBLANK(Discharged!E259),"",Discharged!E259)</f>
        <v/>
      </c>
      <c r="E259" s="38" t="str">
        <f>IF(ISBLANK(Discharged!F259),"",Discharged!F259)</f>
        <v/>
      </c>
      <c r="F259" s="39" t="str">
        <f>IF(ISBLANK(Discharged!H259),"",Discharged!H259)</f>
        <v/>
      </c>
      <c r="G259" s="38" t="str">
        <f>IF(ISBLANK(Discharged!K259),"",Discharged!K259)</f>
        <v/>
      </c>
      <c r="H259" s="38" t="str">
        <f>IF(ISBLANK(Discharged!M259),"",Discharged!M259)</f>
        <v/>
      </c>
      <c r="I259" s="35" t="str">
        <f t="shared" si="9"/>
        <v/>
      </c>
    </row>
    <row r="260" spans="1:9" ht="143.25" customHeight="1">
      <c r="A260" s="35" t="str">
        <f t="shared" si="8"/>
        <v/>
      </c>
      <c r="B260" s="38" t="str">
        <f>IF(ISBLANK(Discharged!B260),"",Discharged!B260)</f>
        <v/>
      </c>
      <c r="C260" s="39" t="str">
        <f>IF(ISBLANK(Discharged!C260),"",CONCATENATE(Discharged!C260,", ",Discharged!D260))</f>
        <v/>
      </c>
      <c r="D260" s="38" t="str">
        <f>IF(ISBLANK(Discharged!E260),"",Discharged!E260)</f>
        <v/>
      </c>
      <c r="E260" s="38" t="str">
        <f>IF(ISBLANK(Discharged!F260),"",Discharged!F260)</f>
        <v/>
      </c>
      <c r="F260" s="39" t="str">
        <f>IF(ISBLANK(Discharged!H260),"",Discharged!H260)</f>
        <v/>
      </c>
      <c r="G260" s="38" t="str">
        <f>IF(ISBLANK(Discharged!K260),"",Discharged!K260)</f>
        <v/>
      </c>
      <c r="H260" s="38" t="str">
        <f>IF(ISBLANK(Discharged!M260),"",Discharged!M260)</f>
        <v/>
      </c>
      <c r="I260" s="35" t="str">
        <f t="shared" si="9"/>
        <v/>
      </c>
    </row>
    <row r="261" spans="1:9" ht="143.25" customHeight="1">
      <c r="A261" s="35" t="str">
        <f t="shared" si="8"/>
        <v/>
      </c>
      <c r="B261" s="38" t="str">
        <f>IF(ISBLANK(Discharged!B261),"",Discharged!B261)</f>
        <v/>
      </c>
      <c r="C261" s="39" t="str">
        <f>IF(ISBLANK(Discharged!C261),"",CONCATENATE(Discharged!C261,", ",Discharged!D261))</f>
        <v/>
      </c>
      <c r="D261" s="38" t="str">
        <f>IF(ISBLANK(Discharged!E261),"",Discharged!E261)</f>
        <v/>
      </c>
      <c r="E261" s="38" t="str">
        <f>IF(ISBLANK(Discharged!F261),"",Discharged!F261)</f>
        <v/>
      </c>
      <c r="F261" s="39" t="str">
        <f>IF(ISBLANK(Discharged!H261),"",Discharged!H261)</f>
        <v/>
      </c>
      <c r="G261" s="38" t="str">
        <f>IF(ISBLANK(Discharged!K261),"",Discharged!K261)</f>
        <v/>
      </c>
      <c r="H261" s="38" t="str">
        <f>IF(ISBLANK(Discharged!M261),"",Discharged!M261)</f>
        <v/>
      </c>
      <c r="I261" s="35" t="str">
        <f t="shared" si="9"/>
        <v/>
      </c>
    </row>
    <row r="262" spans="1:9" ht="143.25" customHeight="1">
      <c r="A262" s="35" t="str">
        <f t="shared" si="8"/>
        <v/>
      </c>
      <c r="B262" s="38" t="str">
        <f>IF(ISBLANK(Discharged!B262),"",Discharged!B262)</f>
        <v/>
      </c>
      <c r="C262" s="39" t="str">
        <f>IF(ISBLANK(Discharged!C262),"",CONCATENATE(Discharged!C262,", ",Discharged!D262))</f>
        <v/>
      </c>
      <c r="D262" s="38" t="str">
        <f>IF(ISBLANK(Discharged!E262),"",Discharged!E262)</f>
        <v/>
      </c>
      <c r="E262" s="38" t="str">
        <f>IF(ISBLANK(Discharged!F262),"",Discharged!F262)</f>
        <v/>
      </c>
      <c r="F262" s="39" t="str">
        <f>IF(ISBLANK(Discharged!H262),"",Discharged!H262)</f>
        <v/>
      </c>
      <c r="G262" s="38" t="str">
        <f>IF(ISBLANK(Discharged!K262),"",Discharged!K262)</f>
        <v/>
      </c>
      <c r="H262" s="38" t="str">
        <f>IF(ISBLANK(Discharged!M262),"",Discharged!M262)</f>
        <v/>
      </c>
      <c r="I262" s="35" t="str">
        <f t="shared" si="9"/>
        <v/>
      </c>
    </row>
    <row r="263" spans="1:9" ht="143.25" customHeight="1">
      <c r="A263" s="35" t="str">
        <f t="shared" si="8"/>
        <v/>
      </c>
      <c r="B263" s="38" t="str">
        <f>IF(ISBLANK(Discharged!B263),"",Discharged!B263)</f>
        <v/>
      </c>
      <c r="C263" s="39" t="str">
        <f>IF(ISBLANK(Discharged!C263),"",CONCATENATE(Discharged!C263,", ",Discharged!D263))</f>
        <v/>
      </c>
      <c r="D263" s="38" t="str">
        <f>IF(ISBLANK(Discharged!E263),"",Discharged!E263)</f>
        <v/>
      </c>
      <c r="E263" s="38" t="str">
        <f>IF(ISBLANK(Discharged!F263),"",Discharged!F263)</f>
        <v/>
      </c>
      <c r="F263" s="39" t="str">
        <f>IF(ISBLANK(Discharged!H263),"",Discharged!H263)</f>
        <v/>
      </c>
      <c r="G263" s="38" t="str">
        <f>IF(ISBLANK(Discharged!K263),"",Discharged!K263)</f>
        <v/>
      </c>
      <c r="H263" s="38" t="str">
        <f>IF(ISBLANK(Discharged!M263),"",Discharged!M263)</f>
        <v/>
      </c>
      <c r="I263" s="35" t="str">
        <f t="shared" si="9"/>
        <v/>
      </c>
    </row>
    <row r="264" spans="1:9" ht="143.25" customHeight="1">
      <c r="A264" s="35" t="str">
        <f t="shared" si="8"/>
        <v/>
      </c>
      <c r="B264" s="38" t="str">
        <f>IF(ISBLANK(Discharged!B264),"",Discharged!B264)</f>
        <v/>
      </c>
      <c r="C264" s="39" t="str">
        <f>IF(ISBLANK(Discharged!C264),"",CONCATENATE(Discharged!C264,", ",Discharged!D264))</f>
        <v/>
      </c>
      <c r="D264" s="38" t="str">
        <f>IF(ISBLANK(Discharged!E264),"",Discharged!E264)</f>
        <v/>
      </c>
      <c r="E264" s="38" t="str">
        <f>IF(ISBLANK(Discharged!F264),"",Discharged!F264)</f>
        <v/>
      </c>
      <c r="F264" s="39" t="str">
        <f>IF(ISBLANK(Discharged!H264),"",Discharged!H264)</f>
        <v/>
      </c>
      <c r="G264" s="38" t="str">
        <f>IF(ISBLANK(Discharged!K264),"",Discharged!K264)</f>
        <v/>
      </c>
      <c r="H264" s="38" t="str">
        <f>IF(ISBLANK(Discharged!M264),"",Discharged!M264)</f>
        <v/>
      </c>
      <c r="I264" s="35" t="str">
        <f t="shared" si="9"/>
        <v/>
      </c>
    </row>
    <row r="265" spans="1:9" ht="143.25" customHeight="1">
      <c r="A265" s="35" t="str">
        <f t="shared" si="8"/>
        <v/>
      </c>
      <c r="B265" s="38" t="str">
        <f>IF(ISBLANK(Discharged!B265),"",Discharged!B265)</f>
        <v/>
      </c>
      <c r="C265" s="39" t="str">
        <f>IF(ISBLANK(Discharged!C265),"",CONCATENATE(Discharged!C265,", ",Discharged!D265))</f>
        <v/>
      </c>
      <c r="D265" s="38" t="str">
        <f>IF(ISBLANK(Discharged!E265),"",Discharged!E265)</f>
        <v/>
      </c>
      <c r="E265" s="38" t="str">
        <f>IF(ISBLANK(Discharged!F265),"",Discharged!F265)</f>
        <v/>
      </c>
      <c r="F265" s="39" t="str">
        <f>IF(ISBLANK(Discharged!H265),"",Discharged!H265)</f>
        <v/>
      </c>
      <c r="G265" s="38" t="str">
        <f>IF(ISBLANK(Discharged!K265),"",Discharged!K265)</f>
        <v/>
      </c>
      <c r="H265" s="38" t="str">
        <f>IF(ISBLANK(Discharged!M265),"",Discharged!M265)</f>
        <v/>
      </c>
      <c r="I265" s="35" t="str">
        <f t="shared" si="9"/>
        <v/>
      </c>
    </row>
    <row r="266" spans="1:9" ht="143.25" customHeight="1">
      <c r="A266" s="35" t="str">
        <f t="shared" si="8"/>
        <v/>
      </c>
      <c r="B266" s="38" t="str">
        <f>IF(ISBLANK(Discharged!B266),"",Discharged!B266)</f>
        <v/>
      </c>
      <c r="C266" s="39" t="str">
        <f>IF(ISBLANK(Discharged!C266),"",CONCATENATE(Discharged!C266,", ",Discharged!D266))</f>
        <v/>
      </c>
      <c r="D266" s="38" t="str">
        <f>IF(ISBLANK(Discharged!E266),"",Discharged!E266)</f>
        <v/>
      </c>
      <c r="E266" s="38" t="str">
        <f>IF(ISBLANK(Discharged!F266),"",Discharged!F266)</f>
        <v/>
      </c>
      <c r="F266" s="39" t="str">
        <f>IF(ISBLANK(Discharged!H266),"",Discharged!H266)</f>
        <v/>
      </c>
      <c r="G266" s="38" t="str">
        <f>IF(ISBLANK(Discharged!K266),"",Discharged!K266)</f>
        <v/>
      </c>
      <c r="H266" s="38" t="str">
        <f>IF(ISBLANK(Discharged!M266),"",Discharged!M266)</f>
        <v/>
      </c>
      <c r="I266" s="35" t="str">
        <f t="shared" si="9"/>
        <v/>
      </c>
    </row>
    <row r="267" spans="1:9" ht="143.25" customHeight="1">
      <c r="A267" s="35" t="str">
        <f t="shared" si="8"/>
        <v/>
      </c>
      <c r="B267" s="38" t="str">
        <f>IF(ISBLANK(Discharged!B267),"",Discharged!B267)</f>
        <v/>
      </c>
      <c r="C267" s="39" t="str">
        <f>IF(ISBLANK(Discharged!C267),"",CONCATENATE(Discharged!C267,", ",Discharged!D267))</f>
        <v/>
      </c>
      <c r="D267" s="38" t="str">
        <f>IF(ISBLANK(Discharged!E267),"",Discharged!E267)</f>
        <v/>
      </c>
      <c r="E267" s="38" t="str">
        <f>IF(ISBLANK(Discharged!F267),"",Discharged!F267)</f>
        <v/>
      </c>
      <c r="F267" s="39" t="str">
        <f>IF(ISBLANK(Discharged!H267),"",Discharged!H267)</f>
        <v/>
      </c>
      <c r="G267" s="38" t="str">
        <f>IF(ISBLANK(Discharged!K267),"",Discharged!K267)</f>
        <v/>
      </c>
      <c r="H267" s="38" t="str">
        <f>IF(ISBLANK(Discharged!M267),"",Discharged!M267)</f>
        <v/>
      </c>
      <c r="I267" s="35" t="str">
        <f t="shared" si="9"/>
        <v/>
      </c>
    </row>
    <row r="268" spans="1:9" ht="143.25" customHeight="1">
      <c r="A268" s="35" t="str">
        <f t="shared" si="8"/>
        <v/>
      </c>
      <c r="B268" s="38" t="str">
        <f>IF(ISBLANK(Discharged!B268),"",Discharged!B268)</f>
        <v/>
      </c>
      <c r="C268" s="39" t="str">
        <f>IF(ISBLANK(Discharged!C268),"",CONCATENATE(Discharged!C268,", ",Discharged!D268))</f>
        <v/>
      </c>
      <c r="D268" s="38" t="str">
        <f>IF(ISBLANK(Discharged!E268),"",Discharged!E268)</f>
        <v/>
      </c>
      <c r="E268" s="38" t="str">
        <f>IF(ISBLANK(Discharged!F268),"",Discharged!F268)</f>
        <v/>
      </c>
      <c r="F268" s="39" t="str">
        <f>IF(ISBLANK(Discharged!H268),"",Discharged!H268)</f>
        <v/>
      </c>
      <c r="G268" s="38" t="str">
        <f>IF(ISBLANK(Discharged!K268),"",Discharged!K268)</f>
        <v/>
      </c>
      <c r="H268" s="38" t="str">
        <f>IF(ISBLANK(Discharged!M268),"",Discharged!M268)</f>
        <v/>
      </c>
      <c r="I268" s="35" t="str">
        <f t="shared" si="9"/>
        <v/>
      </c>
    </row>
    <row r="269" spans="1:9" ht="143.25" customHeight="1">
      <c r="A269" s="35" t="str">
        <f t="shared" si="8"/>
        <v/>
      </c>
      <c r="B269" s="38" t="str">
        <f>IF(ISBLANK(Discharged!B269),"",Discharged!B269)</f>
        <v/>
      </c>
      <c r="C269" s="39" t="str">
        <f>IF(ISBLANK(Discharged!C269),"",CONCATENATE(Discharged!C269,", ",Discharged!D269))</f>
        <v/>
      </c>
      <c r="D269" s="38" t="str">
        <f>IF(ISBLANK(Discharged!E269),"",Discharged!E269)</f>
        <v/>
      </c>
      <c r="E269" s="38" t="str">
        <f>IF(ISBLANK(Discharged!F269),"",Discharged!F269)</f>
        <v/>
      </c>
      <c r="F269" s="39" t="str">
        <f>IF(ISBLANK(Discharged!H269),"",Discharged!H269)</f>
        <v/>
      </c>
      <c r="G269" s="38" t="str">
        <f>IF(ISBLANK(Discharged!K269),"",Discharged!K269)</f>
        <v/>
      </c>
      <c r="H269" s="38" t="str">
        <f>IF(ISBLANK(Discharged!M269),"",Discharged!M269)</f>
        <v/>
      </c>
      <c r="I269" s="35" t="str">
        <f t="shared" si="9"/>
        <v/>
      </c>
    </row>
    <row r="270" spans="1:9" ht="143.25" customHeight="1">
      <c r="A270" s="35" t="str">
        <f t="shared" si="8"/>
        <v/>
      </c>
      <c r="B270" s="38" t="str">
        <f>IF(ISBLANK(Discharged!B270),"",Discharged!B270)</f>
        <v/>
      </c>
      <c r="C270" s="39" t="str">
        <f>IF(ISBLANK(Discharged!C270),"",CONCATENATE(Discharged!C270,", ",Discharged!D270))</f>
        <v/>
      </c>
      <c r="D270" s="38" t="str">
        <f>IF(ISBLANK(Discharged!E270),"",Discharged!E270)</f>
        <v/>
      </c>
      <c r="E270" s="38" t="str">
        <f>IF(ISBLANK(Discharged!F270),"",Discharged!F270)</f>
        <v/>
      </c>
      <c r="F270" s="39" t="str">
        <f>IF(ISBLANK(Discharged!H270),"",Discharged!H270)</f>
        <v/>
      </c>
      <c r="G270" s="38" t="str">
        <f>IF(ISBLANK(Discharged!K270),"",Discharged!K270)</f>
        <v/>
      </c>
      <c r="H270" s="38" t="str">
        <f>IF(ISBLANK(Discharged!M270),"",Discharged!M270)</f>
        <v/>
      </c>
      <c r="I270" s="35" t="str">
        <f t="shared" si="9"/>
        <v/>
      </c>
    </row>
    <row r="271" spans="1:9" ht="143.25" customHeight="1">
      <c r="A271" s="35" t="str">
        <f t="shared" si="8"/>
        <v/>
      </c>
      <c r="B271" s="38" t="str">
        <f>IF(ISBLANK(Discharged!B271),"",Discharged!B271)</f>
        <v/>
      </c>
      <c r="C271" s="39" t="str">
        <f>IF(ISBLANK(Discharged!C271),"",CONCATENATE(Discharged!C271,", ",Discharged!D271))</f>
        <v/>
      </c>
      <c r="D271" s="38" t="str">
        <f>IF(ISBLANK(Discharged!E271),"",Discharged!E271)</f>
        <v/>
      </c>
      <c r="E271" s="38" t="str">
        <f>IF(ISBLANK(Discharged!F271),"",Discharged!F271)</f>
        <v/>
      </c>
      <c r="F271" s="39" t="str">
        <f>IF(ISBLANK(Discharged!H271),"",Discharged!H271)</f>
        <v/>
      </c>
      <c r="G271" s="38" t="str">
        <f>IF(ISBLANK(Discharged!K271),"",Discharged!K271)</f>
        <v/>
      </c>
      <c r="H271" s="38" t="str">
        <f>IF(ISBLANK(Discharged!M271),"",Discharged!M271)</f>
        <v/>
      </c>
      <c r="I271" s="35" t="str">
        <f t="shared" si="9"/>
        <v/>
      </c>
    </row>
    <row r="272" spans="1:9" ht="143.25" customHeight="1">
      <c r="A272" s="35" t="str">
        <f t="shared" si="8"/>
        <v/>
      </c>
      <c r="B272" s="38" t="str">
        <f>IF(ISBLANK(Discharged!B272),"",Discharged!B272)</f>
        <v/>
      </c>
      <c r="C272" s="39" t="str">
        <f>IF(ISBLANK(Discharged!C272),"",CONCATENATE(Discharged!C272,", ",Discharged!D272))</f>
        <v/>
      </c>
      <c r="D272" s="38" t="str">
        <f>IF(ISBLANK(Discharged!E272),"",Discharged!E272)</f>
        <v/>
      </c>
      <c r="E272" s="38" t="str">
        <f>IF(ISBLANK(Discharged!F272),"",Discharged!F272)</f>
        <v/>
      </c>
      <c r="F272" s="39" t="str">
        <f>IF(ISBLANK(Discharged!H272),"",Discharged!H272)</f>
        <v/>
      </c>
      <c r="G272" s="38" t="str">
        <f>IF(ISBLANK(Discharged!K272),"",Discharged!K272)</f>
        <v/>
      </c>
      <c r="H272" s="38" t="str">
        <f>IF(ISBLANK(Discharged!M272),"",Discharged!M272)</f>
        <v/>
      </c>
      <c r="I272" s="35" t="str">
        <f t="shared" si="9"/>
        <v/>
      </c>
    </row>
    <row r="273" spans="1:9" ht="143.25" customHeight="1">
      <c r="A273" s="35" t="str">
        <f t="shared" si="8"/>
        <v/>
      </c>
      <c r="B273" s="38" t="str">
        <f>IF(ISBLANK(Discharged!B273),"",Discharged!B273)</f>
        <v/>
      </c>
      <c r="C273" s="39" t="str">
        <f>IF(ISBLANK(Discharged!C273),"",CONCATENATE(Discharged!C273,", ",Discharged!D273))</f>
        <v/>
      </c>
      <c r="D273" s="38" t="str">
        <f>IF(ISBLANK(Discharged!E273),"",Discharged!E273)</f>
        <v/>
      </c>
      <c r="E273" s="38" t="str">
        <f>IF(ISBLANK(Discharged!F273),"",Discharged!F273)</f>
        <v/>
      </c>
      <c r="F273" s="39" t="str">
        <f>IF(ISBLANK(Discharged!H273),"",Discharged!H273)</f>
        <v/>
      </c>
      <c r="G273" s="38" t="str">
        <f>IF(ISBLANK(Discharged!K273),"",Discharged!K273)</f>
        <v/>
      </c>
      <c r="H273" s="38" t="str">
        <f>IF(ISBLANK(Discharged!M273),"",Discharged!M273)</f>
        <v/>
      </c>
      <c r="I273" s="35" t="str">
        <f t="shared" si="9"/>
        <v/>
      </c>
    </row>
    <row r="274" spans="1:9" ht="143.25" customHeight="1">
      <c r="A274" s="35" t="str">
        <f t="shared" si="8"/>
        <v/>
      </c>
      <c r="B274" s="38" t="str">
        <f>IF(ISBLANK(Discharged!B274),"",Discharged!B274)</f>
        <v/>
      </c>
      <c r="C274" s="39" t="str">
        <f>IF(ISBLANK(Discharged!C274),"",CONCATENATE(Discharged!C274,", ",Discharged!D274))</f>
        <v/>
      </c>
      <c r="D274" s="38" t="str">
        <f>IF(ISBLANK(Discharged!E274),"",Discharged!E274)</f>
        <v/>
      </c>
      <c r="E274" s="38" t="str">
        <f>IF(ISBLANK(Discharged!F274),"",Discharged!F274)</f>
        <v/>
      </c>
      <c r="F274" s="39" t="str">
        <f>IF(ISBLANK(Discharged!H274),"",Discharged!H274)</f>
        <v/>
      </c>
      <c r="G274" s="38" t="str">
        <f>IF(ISBLANK(Discharged!K274),"",Discharged!K274)</f>
        <v/>
      </c>
      <c r="H274" s="38" t="str">
        <f>IF(ISBLANK(Discharged!M274),"",Discharged!M274)</f>
        <v/>
      </c>
      <c r="I274" s="35" t="str">
        <f t="shared" si="9"/>
        <v/>
      </c>
    </row>
    <row r="275" spans="1:9" ht="143.25" customHeight="1">
      <c r="A275" s="35" t="str">
        <f t="shared" si="8"/>
        <v/>
      </c>
      <c r="B275" s="38" t="str">
        <f>IF(ISBLANK(Discharged!B275),"",Discharged!B275)</f>
        <v/>
      </c>
      <c r="C275" s="39" t="str">
        <f>IF(ISBLANK(Discharged!C275),"",CONCATENATE(Discharged!C275,", ",Discharged!D275))</f>
        <v/>
      </c>
      <c r="D275" s="38" t="str">
        <f>IF(ISBLANK(Discharged!E275),"",Discharged!E275)</f>
        <v/>
      </c>
      <c r="E275" s="38" t="str">
        <f>IF(ISBLANK(Discharged!F275),"",Discharged!F275)</f>
        <v/>
      </c>
      <c r="F275" s="39" t="str">
        <f>IF(ISBLANK(Discharged!H275),"",Discharged!H275)</f>
        <v/>
      </c>
      <c r="G275" s="38" t="str">
        <f>IF(ISBLANK(Discharged!K275),"",Discharged!K275)</f>
        <v/>
      </c>
      <c r="H275" s="38" t="str">
        <f>IF(ISBLANK(Discharged!M275),"",Discharged!M275)</f>
        <v/>
      </c>
      <c r="I275" s="35" t="str">
        <f t="shared" si="9"/>
        <v/>
      </c>
    </row>
    <row r="276" spans="1:9" ht="143.25" customHeight="1">
      <c r="A276" s="35" t="str">
        <f t="shared" si="8"/>
        <v/>
      </c>
      <c r="B276" s="38" t="str">
        <f>IF(ISBLANK(Discharged!B276),"",Discharged!B276)</f>
        <v/>
      </c>
      <c r="C276" s="39" t="str">
        <f>IF(ISBLANK(Discharged!C276),"",CONCATENATE(Discharged!C276,", ",Discharged!D276))</f>
        <v/>
      </c>
      <c r="D276" s="38" t="str">
        <f>IF(ISBLANK(Discharged!E276),"",Discharged!E276)</f>
        <v/>
      </c>
      <c r="E276" s="38" t="str">
        <f>IF(ISBLANK(Discharged!F276),"",Discharged!F276)</f>
        <v/>
      </c>
      <c r="F276" s="39" t="str">
        <f>IF(ISBLANK(Discharged!H276),"",Discharged!H276)</f>
        <v/>
      </c>
      <c r="G276" s="38" t="str">
        <f>IF(ISBLANK(Discharged!K276),"",Discharged!K276)</f>
        <v/>
      </c>
      <c r="H276" s="38" t="str">
        <f>IF(ISBLANK(Discharged!M276),"",Discharged!M276)</f>
        <v/>
      </c>
      <c r="I276" s="35" t="str">
        <f t="shared" si="9"/>
        <v/>
      </c>
    </row>
    <row r="277" spans="1:9" ht="143.25" customHeight="1">
      <c r="A277" s="35" t="str">
        <f t="shared" si="8"/>
        <v/>
      </c>
      <c r="B277" s="38" t="str">
        <f>IF(ISBLANK(Discharged!B277),"",Discharged!B277)</f>
        <v/>
      </c>
      <c r="C277" s="39" t="str">
        <f>IF(ISBLANK(Discharged!C277),"",CONCATENATE(Discharged!C277,", ",Discharged!D277))</f>
        <v/>
      </c>
      <c r="D277" s="38" t="str">
        <f>IF(ISBLANK(Discharged!E277),"",Discharged!E277)</f>
        <v/>
      </c>
      <c r="E277" s="38" t="str">
        <f>IF(ISBLANK(Discharged!F277),"",Discharged!F277)</f>
        <v/>
      </c>
      <c r="F277" s="39" t="str">
        <f>IF(ISBLANK(Discharged!H277),"",Discharged!H277)</f>
        <v/>
      </c>
      <c r="G277" s="38" t="str">
        <f>IF(ISBLANK(Discharged!K277),"",Discharged!K277)</f>
        <v/>
      </c>
      <c r="H277" s="38" t="str">
        <f>IF(ISBLANK(Discharged!M277),"",Discharged!M277)</f>
        <v/>
      </c>
      <c r="I277" s="35" t="str">
        <f t="shared" si="9"/>
        <v/>
      </c>
    </row>
    <row r="278" spans="1:9" ht="143.25" customHeight="1">
      <c r="A278" s="35" t="str">
        <f t="shared" si="8"/>
        <v/>
      </c>
      <c r="B278" s="38" t="str">
        <f>IF(ISBLANK(Discharged!B278),"",Discharged!B278)</f>
        <v/>
      </c>
      <c r="C278" s="39" t="str">
        <f>IF(ISBLANK(Discharged!C278),"",CONCATENATE(Discharged!C278,", ",Discharged!D278))</f>
        <v/>
      </c>
      <c r="D278" s="38" t="str">
        <f>IF(ISBLANK(Discharged!E278),"",Discharged!E278)</f>
        <v/>
      </c>
      <c r="E278" s="38" t="str">
        <f>IF(ISBLANK(Discharged!F278),"",Discharged!F278)</f>
        <v/>
      </c>
      <c r="F278" s="39" t="str">
        <f>IF(ISBLANK(Discharged!H278),"",Discharged!H278)</f>
        <v/>
      </c>
      <c r="G278" s="38" t="str">
        <f>IF(ISBLANK(Discharged!K278),"",Discharged!K278)</f>
        <v/>
      </c>
      <c r="H278" s="38" t="str">
        <f>IF(ISBLANK(Discharged!M278),"",Discharged!M278)</f>
        <v/>
      </c>
      <c r="I278" s="35" t="str">
        <f t="shared" si="9"/>
        <v/>
      </c>
    </row>
    <row r="279" spans="1:9" ht="143.25" customHeight="1">
      <c r="A279" s="35" t="str">
        <f t="shared" si="8"/>
        <v/>
      </c>
      <c r="B279" s="38" t="str">
        <f>IF(ISBLANK(Discharged!B279),"",Discharged!B279)</f>
        <v/>
      </c>
      <c r="C279" s="39" t="str">
        <f>IF(ISBLANK(Discharged!C279),"",CONCATENATE(Discharged!C279,", ",Discharged!D279))</f>
        <v/>
      </c>
      <c r="D279" s="38" t="str">
        <f>IF(ISBLANK(Discharged!E279),"",Discharged!E279)</f>
        <v/>
      </c>
      <c r="E279" s="38" t="str">
        <f>IF(ISBLANK(Discharged!F279),"",Discharged!F279)</f>
        <v/>
      </c>
      <c r="F279" s="39" t="str">
        <f>IF(ISBLANK(Discharged!H279),"",Discharged!H279)</f>
        <v/>
      </c>
      <c r="G279" s="38" t="str">
        <f>IF(ISBLANK(Discharged!K279),"",Discharged!K279)</f>
        <v/>
      </c>
      <c r="H279" s="38" t="str">
        <f>IF(ISBLANK(Discharged!M279),"",Discharged!M279)</f>
        <v/>
      </c>
      <c r="I279" s="35" t="str">
        <f t="shared" si="9"/>
        <v/>
      </c>
    </row>
    <row r="280" spans="1:9" ht="143.25" customHeight="1">
      <c r="A280" s="35" t="str">
        <f t="shared" si="8"/>
        <v/>
      </c>
      <c r="B280" s="38" t="str">
        <f>IF(ISBLANK(Discharged!B280),"",Discharged!B280)</f>
        <v/>
      </c>
      <c r="C280" s="39" t="str">
        <f>IF(ISBLANK(Discharged!C280),"",CONCATENATE(Discharged!C280,", ",Discharged!D280))</f>
        <v/>
      </c>
      <c r="D280" s="38" t="str">
        <f>IF(ISBLANK(Discharged!E280),"",Discharged!E280)</f>
        <v/>
      </c>
      <c r="E280" s="38" t="str">
        <f>IF(ISBLANK(Discharged!F280),"",Discharged!F280)</f>
        <v/>
      </c>
      <c r="F280" s="39" t="str">
        <f>IF(ISBLANK(Discharged!H280),"",Discharged!H280)</f>
        <v/>
      </c>
      <c r="G280" s="38" t="str">
        <f>IF(ISBLANK(Discharged!K280),"",Discharged!K280)</f>
        <v/>
      </c>
      <c r="H280" s="38" t="str">
        <f>IF(ISBLANK(Discharged!M280),"",Discharged!M280)</f>
        <v/>
      </c>
      <c r="I280" s="35" t="str">
        <f t="shared" si="9"/>
        <v/>
      </c>
    </row>
    <row r="281" spans="1:9" ht="143.25" customHeight="1">
      <c r="A281" s="35" t="str">
        <f t="shared" si="8"/>
        <v/>
      </c>
      <c r="B281" s="38" t="str">
        <f>IF(ISBLANK(Discharged!B281),"",Discharged!B281)</f>
        <v/>
      </c>
      <c r="C281" s="39" t="str">
        <f>IF(ISBLANK(Discharged!C281),"",CONCATENATE(Discharged!C281,", ",Discharged!D281))</f>
        <v/>
      </c>
      <c r="D281" s="38" t="str">
        <f>IF(ISBLANK(Discharged!E281),"",Discharged!E281)</f>
        <v/>
      </c>
      <c r="E281" s="38" t="str">
        <f>IF(ISBLANK(Discharged!F281),"",Discharged!F281)</f>
        <v/>
      </c>
      <c r="F281" s="39" t="str">
        <f>IF(ISBLANK(Discharged!H281),"",Discharged!H281)</f>
        <v/>
      </c>
      <c r="G281" s="38" t="str">
        <f>IF(ISBLANK(Discharged!K281),"",Discharged!K281)</f>
        <v/>
      </c>
      <c r="H281" s="38" t="str">
        <f>IF(ISBLANK(Discharged!M281),"",Discharged!M281)</f>
        <v/>
      </c>
      <c r="I281" s="35" t="str">
        <f t="shared" si="9"/>
        <v/>
      </c>
    </row>
    <row r="282" spans="1:9" ht="143.25" customHeight="1">
      <c r="A282" s="35" t="str">
        <f t="shared" si="8"/>
        <v/>
      </c>
      <c r="B282" s="38" t="str">
        <f>IF(ISBLANK(Discharged!B282),"",Discharged!B282)</f>
        <v/>
      </c>
      <c r="C282" s="39" t="str">
        <f>IF(ISBLANK(Discharged!C282),"",CONCATENATE(Discharged!C282,", ",Discharged!D282))</f>
        <v/>
      </c>
      <c r="D282" s="38" t="str">
        <f>IF(ISBLANK(Discharged!E282),"",Discharged!E282)</f>
        <v/>
      </c>
      <c r="E282" s="38" t="str">
        <f>IF(ISBLANK(Discharged!F282),"",Discharged!F282)</f>
        <v/>
      </c>
      <c r="F282" s="39" t="str">
        <f>IF(ISBLANK(Discharged!H282),"",Discharged!H282)</f>
        <v/>
      </c>
      <c r="G282" s="38" t="str">
        <f>IF(ISBLANK(Discharged!K282),"",Discharged!K282)</f>
        <v/>
      </c>
      <c r="H282" s="38" t="str">
        <f>IF(ISBLANK(Discharged!M282),"",Discharged!M282)</f>
        <v/>
      </c>
      <c r="I282" s="35" t="str">
        <f t="shared" si="9"/>
        <v/>
      </c>
    </row>
    <row r="283" spans="1:9" ht="143.25" customHeight="1">
      <c r="A283" s="35" t="str">
        <f t="shared" si="8"/>
        <v/>
      </c>
      <c r="B283" s="38" t="str">
        <f>IF(ISBLANK(Discharged!B283),"",Discharged!B283)</f>
        <v/>
      </c>
      <c r="C283" s="39" t="str">
        <f>IF(ISBLANK(Discharged!C283),"",CONCATENATE(Discharged!C283,", ",Discharged!D283))</f>
        <v/>
      </c>
      <c r="D283" s="38" t="str">
        <f>IF(ISBLANK(Discharged!E283),"",Discharged!E283)</f>
        <v/>
      </c>
      <c r="E283" s="38" t="str">
        <f>IF(ISBLANK(Discharged!F283),"",Discharged!F283)</f>
        <v/>
      </c>
      <c r="F283" s="39" t="str">
        <f>IF(ISBLANK(Discharged!H283),"",Discharged!H283)</f>
        <v/>
      </c>
      <c r="G283" s="38" t="str">
        <f>IF(ISBLANK(Discharged!K283),"",Discharged!K283)</f>
        <v/>
      </c>
      <c r="H283" s="38" t="str">
        <f>IF(ISBLANK(Discharged!M283),"",Discharged!M283)</f>
        <v/>
      </c>
      <c r="I283" s="35" t="str">
        <f t="shared" si="9"/>
        <v/>
      </c>
    </row>
    <row r="284" spans="1:9" ht="143.25" customHeight="1">
      <c r="A284" s="35" t="str">
        <f t="shared" si="8"/>
        <v/>
      </c>
      <c r="B284" s="38" t="str">
        <f>IF(ISBLANK(Discharged!B284),"",Discharged!B284)</f>
        <v/>
      </c>
      <c r="C284" s="39" t="str">
        <f>IF(ISBLANK(Discharged!C284),"",CONCATENATE(Discharged!C284,", ",Discharged!D284))</f>
        <v/>
      </c>
      <c r="D284" s="38" t="str">
        <f>IF(ISBLANK(Discharged!E284),"",Discharged!E284)</f>
        <v/>
      </c>
      <c r="E284" s="38" t="str">
        <f>IF(ISBLANK(Discharged!F284),"",Discharged!F284)</f>
        <v/>
      </c>
      <c r="F284" s="39" t="str">
        <f>IF(ISBLANK(Discharged!H284),"",Discharged!H284)</f>
        <v/>
      </c>
      <c r="G284" s="38" t="str">
        <f>IF(ISBLANK(Discharged!K284),"",Discharged!K284)</f>
        <v/>
      </c>
      <c r="H284" s="38" t="str">
        <f>IF(ISBLANK(Discharged!M284),"",Discharged!M284)</f>
        <v/>
      </c>
      <c r="I284" s="35" t="str">
        <f t="shared" si="9"/>
        <v/>
      </c>
    </row>
    <row r="285" spans="1:9" ht="143.25" customHeight="1">
      <c r="A285" s="35" t="str">
        <f t="shared" si="8"/>
        <v/>
      </c>
      <c r="B285" s="38" t="str">
        <f>IF(ISBLANK(Discharged!B285),"",Discharged!B285)</f>
        <v/>
      </c>
      <c r="C285" s="39" t="str">
        <f>IF(ISBLANK(Discharged!C285),"",CONCATENATE(Discharged!C285,", ",Discharged!D285))</f>
        <v/>
      </c>
      <c r="D285" s="38" t="str">
        <f>IF(ISBLANK(Discharged!E285),"",Discharged!E285)</f>
        <v/>
      </c>
      <c r="E285" s="38" t="str">
        <f>IF(ISBLANK(Discharged!F285),"",Discharged!F285)</f>
        <v/>
      </c>
      <c r="F285" s="39" t="str">
        <f>IF(ISBLANK(Discharged!H285),"",Discharged!H285)</f>
        <v/>
      </c>
      <c r="G285" s="38" t="str">
        <f>IF(ISBLANK(Discharged!K285),"",Discharged!K285)</f>
        <v/>
      </c>
      <c r="H285" s="38" t="str">
        <f>IF(ISBLANK(Discharged!M285),"",Discharged!M285)</f>
        <v/>
      </c>
      <c r="I285" s="35" t="str">
        <f t="shared" si="9"/>
        <v/>
      </c>
    </row>
    <row r="286" spans="1:9" ht="143.25" customHeight="1">
      <c r="A286" s="35" t="str">
        <f t="shared" si="8"/>
        <v/>
      </c>
      <c r="B286" s="38" t="str">
        <f>IF(ISBLANK(Discharged!B286),"",Discharged!B286)</f>
        <v/>
      </c>
      <c r="C286" s="39" t="str">
        <f>IF(ISBLANK(Discharged!C286),"",CONCATENATE(Discharged!C286,", ",Discharged!D286))</f>
        <v/>
      </c>
      <c r="D286" s="38" t="str">
        <f>IF(ISBLANK(Discharged!E286),"",Discharged!E286)</f>
        <v/>
      </c>
      <c r="E286" s="38" t="str">
        <f>IF(ISBLANK(Discharged!F286),"",Discharged!F286)</f>
        <v/>
      </c>
      <c r="F286" s="39" t="str">
        <f>IF(ISBLANK(Discharged!H286),"",Discharged!H286)</f>
        <v/>
      </c>
      <c r="G286" s="38" t="str">
        <f>IF(ISBLANK(Discharged!K286),"",Discharged!K286)</f>
        <v/>
      </c>
      <c r="H286" s="38" t="str">
        <f>IF(ISBLANK(Discharged!M286),"",Discharged!M286)</f>
        <v/>
      </c>
      <c r="I286" s="35" t="str">
        <f t="shared" si="9"/>
        <v/>
      </c>
    </row>
    <row r="287" spans="1:9" ht="143.25" customHeight="1">
      <c r="A287" s="35" t="str">
        <f t="shared" si="8"/>
        <v/>
      </c>
      <c r="B287" s="38" t="str">
        <f>IF(ISBLANK(Discharged!B287),"",Discharged!B287)</f>
        <v/>
      </c>
      <c r="C287" s="39" t="str">
        <f>IF(ISBLANK(Discharged!C287),"",CONCATENATE(Discharged!C287,", ",Discharged!D287))</f>
        <v/>
      </c>
      <c r="D287" s="38" t="str">
        <f>IF(ISBLANK(Discharged!E287),"",Discharged!E287)</f>
        <v/>
      </c>
      <c r="E287" s="38" t="str">
        <f>IF(ISBLANK(Discharged!F287),"",Discharged!F287)</f>
        <v/>
      </c>
      <c r="F287" s="39" t="str">
        <f>IF(ISBLANK(Discharged!H287),"",Discharged!H287)</f>
        <v/>
      </c>
      <c r="G287" s="38" t="str">
        <f>IF(ISBLANK(Discharged!K287),"",Discharged!K287)</f>
        <v/>
      </c>
      <c r="H287" s="38" t="str">
        <f>IF(ISBLANK(Discharged!M287),"",Discharged!M287)</f>
        <v/>
      </c>
      <c r="I287" s="35" t="str">
        <f t="shared" si="9"/>
        <v/>
      </c>
    </row>
    <row r="288" spans="1:9" ht="143.25" customHeight="1">
      <c r="A288" s="35" t="str">
        <f t="shared" si="8"/>
        <v/>
      </c>
      <c r="B288" s="38" t="str">
        <f>IF(ISBLANK(Discharged!B288),"",Discharged!B288)</f>
        <v/>
      </c>
      <c r="C288" s="39" t="str">
        <f>IF(ISBLANK(Discharged!C288),"",CONCATENATE(Discharged!C288,", ",Discharged!D288))</f>
        <v/>
      </c>
      <c r="D288" s="38" t="str">
        <f>IF(ISBLANK(Discharged!E288),"",Discharged!E288)</f>
        <v/>
      </c>
      <c r="E288" s="38" t="str">
        <f>IF(ISBLANK(Discharged!F288),"",Discharged!F288)</f>
        <v/>
      </c>
      <c r="F288" s="39" t="str">
        <f>IF(ISBLANK(Discharged!H288),"",Discharged!H288)</f>
        <v/>
      </c>
      <c r="G288" s="38" t="str">
        <f>IF(ISBLANK(Discharged!K288),"",Discharged!K288)</f>
        <v/>
      </c>
      <c r="H288" s="38" t="str">
        <f>IF(ISBLANK(Discharged!M288),"",Discharged!M288)</f>
        <v/>
      </c>
      <c r="I288" s="35" t="str">
        <f t="shared" si="9"/>
        <v/>
      </c>
    </row>
    <row r="289" spans="1:9" ht="143.25" customHeight="1">
      <c r="A289" s="35" t="str">
        <f t="shared" si="8"/>
        <v/>
      </c>
      <c r="B289" s="38" t="str">
        <f>IF(ISBLANK(Discharged!B289),"",Discharged!B289)</f>
        <v/>
      </c>
      <c r="C289" s="39" t="str">
        <f>IF(ISBLANK(Discharged!C289),"",CONCATENATE(Discharged!C289,", ",Discharged!D289))</f>
        <v/>
      </c>
      <c r="D289" s="38" t="str">
        <f>IF(ISBLANK(Discharged!E289),"",Discharged!E289)</f>
        <v/>
      </c>
      <c r="E289" s="38" t="str">
        <f>IF(ISBLANK(Discharged!F289),"",Discharged!F289)</f>
        <v/>
      </c>
      <c r="F289" s="39" t="str">
        <f>IF(ISBLANK(Discharged!H289),"",Discharged!H289)</f>
        <v/>
      </c>
      <c r="G289" s="38" t="str">
        <f>IF(ISBLANK(Discharged!K289),"",Discharged!K289)</f>
        <v/>
      </c>
      <c r="H289" s="38" t="str">
        <f>IF(ISBLANK(Discharged!M289),"",Discharged!M289)</f>
        <v/>
      </c>
      <c r="I289" s="35" t="str">
        <f t="shared" si="9"/>
        <v/>
      </c>
    </row>
    <row r="290" spans="1:9" ht="143.25" customHeight="1">
      <c r="A290" s="35" t="str">
        <f t="shared" si="8"/>
        <v/>
      </c>
      <c r="B290" s="38" t="str">
        <f>IF(ISBLANK(Discharged!B290),"",Discharged!B290)</f>
        <v/>
      </c>
      <c r="C290" s="39" t="str">
        <f>IF(ISBLANK(Discharged!C290),"",CONCATENATE(Discharged!C290,", ",Discharged!D290))</f>
        <v/>
      </c>
      <c r="D290" s="38" t="str">
        <f>IF(ISBLANK(Discharged!E290),"",Discharged!E290)</f>
        <v/>
      </c>
      <c r="E290" s="38" t="str">
        <f>IF(ISBLANK(Discharged!F290),"",Discharged!F290)</f>
        <v/>
      </c>
      <c r="F290" s="39" t="str">
        <f>IF(ISBLANK(Discharged!H290),"",Discharged!H290)</f>
        <v/>
      </c>
      <c r="G290" s="38" t="str">
        <f>IF(ISBLANK(Discharged!K290),"",Discharged!K290)</f>
        <v/>
      </c>
      <c r="H290" s="38" t="str">
        <f>IF(ISBLANK(Discharged!M290),"",Discharged!M290)</f>
        <v/>
      </c>
      <c r="I290" s="35" t="str">
        <f t="shared" si="9"/>
        <v/>
      </c>
    </row>
    <row r="291" spans="1:9" ht="143.25" customHeight="1">
      <c r="A291" s="35" t="str">
        <f t="shared" si="8"/>
        <v/>
      </c>
      <c r="B291" s="38" t="str">
        <f>IF(ISBLANK(Discharged!B291),"",Discharged!B291)</f>
        <v/>
      </c>
      <c r="C291" s="39" t="str">
        <f>IF(ISBLANK(Discharged!C291),"",CONCATENATE(Discharged!C291,", ",Discharged!D291))</f>
        <v/>
      </c>
      <c r="D291" s="38" t="str">
        <f>IF(ISBLANK(Discharged!E291),"",Discharged!E291)</f>
        <v/>
      </c>
      <c r="E291" s="38" t="str">
        <f>IF(ISBLANK(Discharged!F291),"",Discharged!F291)</f>
        <v/>
      </c>
      <c r="F291" s="39" t="str">
        <f>IF(ISBLANK(Discharged!H291),"",Discharged!H291)</f>
        <v/>
      </c>
      <c r="G291" s="38" t="str">
        <f>IF(ISBLANK(Discharged!K291),"",Discharged!K291)</f>
        <v/>
      </c>
      <c r="H291" s="38" t="str">
        <f>IF(ISBLANK(Discharged!M291),"",Discharged!M291)</f>
        <v/>
      </c>
      <c r="I291" s="35" t="str">
        <f t="shared" si="9"/>
        <v/>
      </c>
    </row>
    <row r="292" spans="1:9" ht="143.25" customHeight="1">
      <c r="A292" s="35" t="str">
        <f t="shared" si="8"/>
        <v/>
      </c>
      <c r="B292" s="38" t="str">
        <f>IF(ISBLANK(Discharged!B292),"",Discharged!B292)</f>
        <v/>
      </c>
      <c r="C292" s="39" t="str">
        <f>IF(ISBLANK(Discharged!C292),"",CONCATENATE(Discharged!C292,", ",Discharged!D292))</f>
        <v/>
      </c>
      <c r="D292" s="38" t="str">
        <f>IF(ISBLANK(Discharged!E292),"",Discharged!E292)</f>
        <v/>
      </c>
      <c r="E292" s="38" t="str">
        <f>IF(ISBLANK(Discharged!F292),"",Discharged!F292)</f>
        <v/>
      </c>
      <c r="F292" s="39" t="str">
        <f>IF(ISBLANK(Discharged!H292),"",Discharged!H292)</f>
        <v/>
      </c>
      <c r="G292" s="38" t="str">
        <f>IF(ISBLANK(Discharged!K292),"",Discharged!K292)</f>
        <v/>
      </c>
      <c r="H292" s="38" t="str">
        <f>IF(ISBLANK(Discharged!M292),"",Discharged!M292)</f>
        <v/>
      </c>
      <c r="I292" s="35" t="str">
        <f t="shared" si="9"/>
        <v/>
      </c>
    </row>
    <row r="293" spans="1:9" ht="143.25" customHeight="1">
      <c r="A293" s="35" t="str">
        <f t="shared" si="8"/>
        <v/>
      </c>
      <c r="B293" s="38" t="str">
        <f>IF(ISBLANK(Discharged!B293),"",Discharged!B293)</f>
        <v/>
      </c>
      <c r="C293" s="39" t="str">
        <f>IF(ISBLANK(Discharged!C293),"",CONCATENATE(Discharged!C293,", ",Discharged!D293))</f>
        <v/>
      </c>
      <c r="D293" s="38" t="str">
        <f>IF(ISBLANK(Discharged!E293),"",Discharged!E293)</f>
        <v/>
      </c>
      <c r="E293" s="38" t="str">
        <f>IF(ISBLANK(Discharged!F293),"",Discharged!F293)</f>
        <v/>
      </c>
      <c r="F293" s="39" t="str">
        <f>IF(ISBLANK(Discharged!H293),"",Discharged!H293)</f>
        <v/>
      </c>
      <c r="G293" s="38" t="str">
        <f>IF(ISBLANK(Discharged!K293),"",Discharged!K293)</f>
        <v/>
      </c>
      <c r="H293" s="38" t="str">
        <f>IF(ISBLANK(Discharged!M293),"",Discharged!M293)</f>
        <v/>
      </c>
      <c r="I293" s="35" t="str">
        <f t="shared" si="9"/>
        <v/>
      </c>
    </row>
    <row r="294" spans="1:9" ht="143.25" customHeight="1">
      <c r="A294" s="35" t="str">
        <f t="shared" si="8"/>
        <v/>
      </c>
      <c r="B294" s="38" t="str">
        <f>IF(ISBLANK(Discharged!B294),"",Discharged!B294)</f>
        <v/>
      </c>
      <c r="C294" s="39" t="str">
        <f>IF(ISBLANK(Discharged!C294),"",CONCATENATE(Discharged!C294,", ",Discharged!D294))</f>
        <v/>
      </c>
      <c r="D294" s="38" t="str">
        <f>IF(ISBLANK(Discharged!E294),"",Discharged!E294)</f>
        <v/>
      </c>
      <c r="E294" s="38" t="str">
        <f>IF(ISBLANK(Discharged!F294),"",Discharged!F294)</f>
        <v/>
      </c>
      <c r="F294" s="39" t="str">
        <f>IF(ISBLANK(Discharged!H294),"",Discharged!H294)</f>
        <v/>
      </c>
      <c r="G294" s="38" t="str">
        <f>IF(ISBLANK(Discharged!K294),"",Discharged!K294)</f>
        <v/>
      </c>
      <c r="H294" s="38" t="str">
        <f>IF(ISBLANK(Discharged!M294),"",Discharged!M294)</f>
        <v/>
      </c>
      <c r="I294" s="35" t="str">
        <f t="shared" si="9"/>
        <v/>
      </c>
    </row>
    <row r="295" spans="1:9" ht="143.25" customHeight="1">
      <c r="A295" s="35" t="str">
        <f t="shared" si="8"/>
        <v/>
      </c>
      <c r="B295" s="38" t="str">
        <f>IF(ISBLANK(Discharged!B295),"",Discharged!B295)</f>
        <v/>
      </c>
      <c r="C295" s="39" t="str">
        <f>IF(ISBLANK(Discharged!C295),"",CONCATENATE(Discharged!C295,", ",Discharged!D295))</f>
        <v/>
      </c>
      <c r="D295" s="38" t="str">
        <f>IF(ISBLANK(Discharged!E295),"",Discharged!E295)</f>
        <v/>
      </c>
      <c r="E295" s="38" t="str">
        <f>IF(ISBLANK(Discharged!F295),"",Discharged!F295)</f>
        <v/>
      </c>
      <c r="F295" s="39" t="str">
        <f>IF(ISBLANK(Discharged!H295),"",Discharged!H295)</f>
        <v/>
      </c>
      <c r="G295" s="38" t="str">
        <f>IF(ISBLANK(Discharged!K295),"",Discharged!K295)</f>
        <v/>
      </c>
      <c r="H295" s="38" t="str">
        <f>IF(ISBLANK(Discharged!M295),"",Discharged!M295)</f>
        <v/>
      </c>
      <c r="I295" s="35" t="str">
        <f t="shared" si="9"/>
        <v/>
      </c>
    </row>
    <row r="296" spans="1:9" ht="143.25" customHeight="1">
      <c r="A296" s="35" t="str">
        <f t="shared" si="8"/>
        <v/>
      </c>
      <c r="B296" s="38" t="str">
        <f>IF(ISBLANK(Discharged!B296),"",Discharged!B296)</f>
        <v/>
      </c>
      <c r="C296" s="39" t="str">
        <f>IF(ISBLANK(Discharged!C296),"",CONCATENATE(Discharged!C296,", ",Discharged!D296))</f>
        <v/>
      </c>
      <c r="D296" s="38" t="str">
        <f>IF(ISBLANK(Discharged!E296),"",Discharged!E296)</f>
        <v/>
      </c>
      <c r="E296" s="38" t="str">
        <f>IF(ISBLANK(Discharged!F296),"",Discharged!F296)</f>
        <v/>
      </c>
      <c r="F296" s="39" t="str">
        <f>IF(ISBLANK(Discharged!H296),"",Discharged!H296)</f>
        <v/>
      </c>
      <c r="G296" s="38" t="str">
        <f>IF(ISBLANK(Discharged!K296),"",Discharged!K296)</f>
        <v/>
      </c>
      <c r="H296" s="38" t="str">
        <f>IF(ISBLANK(Discharged!M296),"",Discharged!M296)</f>
        <v/>
      </c>
      <c r="I296" s="35" t="str">
        <f t="shared" si="9"/>
        <v/>
      </c>
    </row>
    <row r="297" spans="1:9" ht="143.25" customHeight="1">
      <c r="A297" s="35" t="str">
        <f t="shared" si="8"/>
        <v/>
      </c>
      <c r="B297" s="38" t="str">
        <f>IF(ISBLANK(Discharged!B297),"",Discharged!B297)</f>
        <v/>
      </c>
      <c r="C297" s="39" t="str">
        <f>IF(ISBLANK(Discharged!C297),"",CONCATENATE(Discharged!C297,", ",Discharged!D297))</f>
        <v/>
      </c>
      <c r="D297" s="38" t="str">
        <f>IF(ISBLANK(Discharged!E297),"",Discharged!E297)</f>
        <v/>
      </c>
      <c r="E297" s="38" t="str">
        <f>IF(ISBLANK(Discharged!F297),"",Discharged!F297)</f>
        <v/>
      </c>
      <c r="F297" s="39" t="str">
        <f>IF(ISBLANK(Discharged!H297),"",Discharged!H297)</f>
        <v/>
      </c>
      <c r="G297" s="38" t="str">
        <f>IF(ISBLANK(Discharged!K297),"",Discharged!K297)</f>
        <v/>
      </c>
      <c r="H297" s="38" t="str">
        <f>IF(ISBLANK(Discharged!M297),"",Discharged!M297)</f>
        <v/>
      </c>
      <c r="I297" s="35" t="str">
        <f t="shared" si="9"/>
        <v/>
      </c>
    </row>
    <row r="298" spans="1:9" ht="143.25" customHeight="1">
      <c r="A298" s="35" t="str">
        <f t="shared" si="8"/>
        <v/>
      </c>
      <c r="B298" s="38" t="str">
        <f>IF(ISBLANK(Discharged!B298),"",Discharged!B298)</f>
        <v/>
      </c>
      <c r="C298" s="39" t="str">
        <f>IF(ISBLANK(Discharged!C298),"",CONCATENATE(Discharged!C298,", ",Discharged!D298))</f>
        <v/>
      </c>
      <c r="D298" s="38" t="str">
        <f>IF(ISBLANK(Discharged!E298),"",Discharged!E298)</f>
        <v/>
      </c>
      <c r="E298" s="38" t="str">
        <f>IF(ISBLANK(Discharged!F298),"",Discharged!F298)</f>
        <v/>
      </c>
      <c r="F298" s="39" t="str">
        <f>IF(ISBLANK(Discharged!H298),"",Discharged!H298)</f>
        <v/>
      </c>
      <c r="G298" s="38" t="str">
        <f>IF(ISBLANK(Discharged!K298),"",Discharged!K298)</f>
        <v/>
      </c>
      <c r="H298" s="38" t="str">
        <f>IF(ISBLANK(Discharged!M298),"",Discharged!M298)</f>
        <v/>
      </c>
      <c r="I298" s="35" t="str">
        <f t="shared" si="9"/>
        <v/>
      </c>
    </row>
    <row r="299" spans="1:9" ht="143.25" customHeight="1">
      <c r="A299" s="35" t="str">
        <f t="shared" si="8"/>
        <v/>
      </c>
      <c r="B299" s="38" t="str">
        <f>IF(ISBLANK(Discharged!B299),"",Discharged!B299)</f>
        <v/>
      </c>
      <c r="C299" s="39" t="str">
        <f>IF(ISBLANK(Discharged!C299),"",CONCATENATE(Discharged!C299,", ",Discharged!D299))</f>
        <v/>
      </c>
      <c r="D299" s="38" t="str">
        <f>IF(ISBLANK(Discharged!E299),"",Discharged!E299)</f>
        <v/>
      </c>
      <c r="E299" s="38" t="str">
        <f>IF(ISBLANK(Discharged!F299),"",Discharged!F299)</f>
        <v/>
      </c>
      <c r="F299" s="39" t="str">
        <f>IF(ISBLANK(Discharged!H299),"",Discharged!H299)</f>
        <v/>
      </c>
      <c r="G299" s="38" t="str">
        <f>IF(ISBLANK(Discharged!K299),"",Discharged!K299)</f>
        <v/>
      </c>
      <c r="H299" s="38" t="str">
        <f>IF(ISBLANK(Discharged!M299),"",Discharged!M299)</f>
        <v/>
      </c>
      <c r="I299" s="35" t="str">
        <f t="shared" si="9"/>
        <v/>
      </c>
    </row>
    <row r="300" spans="1:9" ht="143.25" customHeight="1">
      <c r="A300" s="35" t="str">
        <f t="shared" si="8"/>
        <v/>
      </c>
      <c r="B300" s="38" t="str">
        <f>IF(ISBLANK(Discharged!B300),"",Discharged!B300)</f>
        <v/>
      </c>
      <c r="C300" s="39" t="str">
        <f>IF(ISBLANK(Discharged!C300),"",CONCATENATE(Discharged!C300,", ",Discharged!D300))</f>
        <v/>
      </c>
      <c r="D300" s="38" t="str">
        <f>IF(ISBLANK(Discharged!E300),"",Discharged!E300)</f>
        <v/>
      </c>
      <c r="E300" s="38" t="str">
        <f>IF(ISBLANK(Discharged!F300),"",Discharged!F300)</f>
        <v/>
      </c>
      <c r="F300" s="39" t="str">
        <f>IF(ISBLANK(Discharged!H300),"",Discharged!H300)</f>
        <v/>
      </c>
      <c r="G300" s="38" t="str">
        <f>IF(ISBLANK(Discharged!K300),"",Discharged!K300)</f>
        <v/>
      </c>
      <c r="H300" s="38" t="str">
        <f>IF(ISBLANK(Discharged!M300),"",Discharged!M300)</f>
        <v/>
      </c>
      <c r="I300" s="35" t="str">
        <f t="shared" si="9"/>
        <v/>
      </c>
    </row>
    <row r="301" spans="1:9" ht="143.25" customHeight="1">
      <c r="A301" s="35" t="str">
        <f t="shared" si="8"/>
        <v/>
      </c>
      <c r="B301" s="38" t="str">
        <f>IF(ISBLANK(Discharged!B301),"",Discharged!B301)</f>
        <v/>
      </c>
      <c r="C301" s="39" t="str">
        <f>IF(ISBLANK(Discharged!C301),"",CONCATENATE(Discharged!C301,", ",Discharged!D301))</f>
        <v/>
      </c>
      <c r="D301" s="38" t="str">
        <f>IF(ISBLANK(Discharged!E301),"",Discharged!E301)</f>
        <v/>
      </c>
      <c r="E301" s="38" t="str">
        <f>IF(ISBLANK(Discharged!F301),"",Discharged!F301)</f>
        <v/>
      </c>
      <c r="F301" s="39" t="str">
        <f>IF(ISBLANK(Discharged!H301),"",Discharged!H301)</f>
        <v/>
      </c>
      <c r="G301" s="38" t="str">
        <f>IF(ISBLANK(Discharged!K301),"",Discharged!K301)</f>
        <v/>
      </c>
      <c r="H301" s="38" t="str">
        <f>IF(ISBLANK(Discharged!M301),"",Discharged!M301)</f>
        <v/>
      </c>
      <c r="I301" s="35" t="str">
        <f t="shared" si="9"/>
        <v/>
      </c>
    </row>
    <row r="302" spans="1:9" s="8" customFormat="1">
      <c r="A302" s="45"/>
      <c r="B302" s="43"/>
      <c r="C302" s="44"/>
      <c r="D302" s="43"/>
      <c r="E302" s="43"/>
      <c r="F302" s="44"/>
      <c r="G302" s="43"/>
      <c r="H302" s="43"/>
      <c r="I302" s="45"/>
    </row>
  </sheetData>
  <sortState ref="A3:I302">
    <sortCondition ref="A2"/>
  </sortState>
  <customSheetViews>
    <customSheetView guid="{7656BB3C-1299-4E61-A887-A5F4101AF2AB}" scale="40" showPageBreaks="1" fitToPage="1" hiddenColumns="1">
      <pane ySplit="1" topLeftCell="A2" activePane="bottomLeft" state="frozen"/>
      <selection pane="bottomLeft"/>
      <pageMargins left="0.25" right="0.25" top="0.25" bottom="0.25" header="0.5" footer="0.5"/>
      <printOptions horizontalCentered="1" verticalCentered="1"/>
      <pageSetup scale="10" orientation="portrait" r:id="rId1"/>
    </customSheetView>
    <customSheetView guid="{DB3826DE-0319-4671-8564-0DA8C5492560}" scale="40" showPageBreaks="1" fitToPage="1" hiddenColumns="1">
      <pane ySplit="1" topLeftCell="A2" activePane="bottomLeft" state="frozen"/>
      <selection pane="bottomLeft" activeCell="I3" sqref="I3"/>
      <pageMargins left="0.25" right="0.25" top="0.25" bottom="0.25" header="0.5" footer="0.5"/>
      <printOptions horizontalCentered="1" verticalCentered="1"/>
      <pageSetup paperSize="5" scale="32" fitToHeight="20" orientation="portrait" horizontalDpi="4294967295" verticalDpi="4294967295" r:id="rId2"/>
    </customSheetView>
  </customSheetViews>
  <printOptions horizontalCentered="1" verticalCentered="1"/>
  <pageMargins left="0.25" right="0.25" top="0.25" bottom="0.25" header="0.5" footer="0.5"/>
  <pageSetup paperSize="5" scale="32" fitToHeight="20" orientation="portrait" horizontalDpi="4294967295" verticalDpi="4294967295" r:id="rId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Demo</vt:lpstr>
      <vt:lpstr>CPU-Left</vt:lpstr>
      <vt:lpstr>CPU-Middle</vt:lpstr>
      <vt:lpstr>CPU-Right</vt:lpstr>
      <vt:lpstr>Data</vt:lpstr>
      <vt:lpstr>Reserves</vt:lpstr>
      <vt:lpstr>Study-Room</vt:lpstr>
      <vt:lpstr>Charged</vt:lpstr>
      <vt:lpstr>Discharged</vt:lpstr>
      <vt:lpstr>Print-Charged</vt:lpstr>
      <vt:lpstr>Print-Discharged</vt:lpstr>
      <vt:lpstr>BorrowPeriod</vt:lpstr>
      <vt:lpstr>ItemType</vt:lpstr>
      <vt:lpstr>'Print-Discharged'!Print_Titles</vt:lpstr>
      <vt:lpstr>Returned</vt:lpstr>
    </vt:vector>
  </TitlesOfParts>
  <Company>None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Sistoza</dc:creator>
  <cp:lastModifiedBy>circuser</cp:lastModifiedBy>
  <cp:lastPrinted>2015-01-16T23:47:02Z</cp:lastPrinted>
  <dcterms:created xsi:type="dcterms:W3CDTF">2014-10-08T21:50:34Z</dcterms:created>
  <dcterms:modified xsi:type="dcterms:W3CDTF">2015-10-06T00:46:59Z</dcterms:modified>
</cp:coreProperties>
</file>